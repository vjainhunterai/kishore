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onical Schema" sheetId="1" state="visible" r:id="rId3"/>
    <sheet name="Vendor Crosswalk" sheetId="2" state="visible" r:id="rId4"/>
    <sheet name="Service Domains" sheetId="3" state="visible" r:id="rId5"/>
    <sheet name="Pricing Schedule" sheetId="4" state="visible" r:id="rId6"/>
    <sheet name="Enums" sheetId="5" state="visible" r:id="rId7"/>
    <sheet name="Extract Template" sheetId="6" state="visible" r:id="rId8"/>
    <sheet name="Read Me" sheetId="7" state="visible" r:id="rId9"/>
  </sheets>
  <definedNames>
    <definedName function="false" hidden="true" localSheetId="0" name="_xlnm._FilterDatabase" vbProcedure="false">'Canonical Schema'!$A$2:$H$68</definedName>
    <definedName function="false" hidden="true" localSheetId="4" name="_xlnm._FilterDatabase" vbProcedure="false">Enums!$A$2:$C$43</definedName>
    <definedName function="false" hidden="true" localSheetId="5" name="_xlnm._FilterDatabase" vbProcedure="false">'Extract Template'!$A$2:$BE$11</definedName>
    <definedName function="false" hidden="true" localSheetId="3" name="_xlnm._FilterDatabase" vbProcedure="false">'Pricing Schedule'!$A$3:$H$11</definedName>
    <definedName function="false" hidden="true" localSheetId="2" name="_xlnm._FilterDatabase" vbProcedure="false">'Service Domains'!$A$3:$F$81</definedName>
    <definedName function="false" hidden="true" localSheetId="1" name="_xlnm._FilterDatabase" vbProcedure="false">'Vendor Crosswalk'!$A$3:$G$60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<sst xmlns="http://schemas.openxmlformats.org/spreadsheetml/2006/main" count="1108" uniqueCount="603">
  <si>
    <t xml:space="preserve">Standard Contract Extract — Canonical Schema (all-domain)</t>
  </si>
  <si>
    <t xml:space="preserve">#</t>
  </si>
  <si>
    <t xml:space="preserve">Section</t>
  </si>
  <si>
    <t xml:space="preserve">Canonical Field</t>
  </si>
  <si>
    <t xml:space="preserve">Data Type</t>
  </si>
  <si>
    <t xml:space="preserve">Grain</t>
  </si>
  <si>
    <t xml:space="preserve">Required</t>
  </si>
  <si>
    <t xml:space="preserve">Description</t>
  </si>
  <si>
    <t xml:space="preserve">Example</t>
  </si>
  <si>
    <t xml:space="preserve">SOURCE &amp; PROVENANCE</t>
  </si>
  <si>
    <t xml:space="preserve">record_id</t>
  </si>
  <si>
    <t xml:space="preserve">Text / ID</t>
  </si>
  <si>
    <t xml:space="preserve">Line</t>
  </si>
  <si>
    <t xml:space="preserve">Yes</t>
  </si>
  <si>
    <t xml:space="preserve">Unique surrogate key for each extracted line item</t>
  </si>
  <si>
    <t xml:space="preserve">REC-000123</t>
  </si>
  <si>
    <t xml:space="preserve">source_vendor</t>
  </si>
  <si>
    <t xml:space="preserve">Text (enum)</t>
  </si>
  <si>
    <t xml:space="preserve">Header</t>
  </si>
  <si>
    <t xml:space="preserve">Originating vendor / source format</t>
  </si>
  <si>
    <t xml:space="preserve">Agiliti</t>
  </si>
  <si>
    <t xml:space="preserve">source_document_ref</t>
  </si>
  <si>
    <t xml:space="preserve">Text</t>
  </si>
  <si>
    <t xml:space="preserve">No</t>
  </si>
  <si>
    <t xml:space="preserve">Source file name / page reference</t>
  </si>
  <si>
    <t xml:space="preserve">Agiliti_MSA.pdf p.3</t>
  </si>
  <si>
    <t xml:space="preserve">extract_date</t>
  </si>
  <si>
    <t xml:space="preserve">Date</t>
  </si>
  <si>
    <t xml:space="preserve">Date this record was extracted</t>
  </si>
  <si>
    <t xml:space="preserve">2026-01-15</t>
  </si>
  <si>
    <t xml:space="preserve">CUSTOMER / PARTY</t>
  </si>
  <si>
    <t xml:space="preserve">customer_account_id</t>
  </si>
  <si>
    <t xml:space="preserve">Buyer's account identifier</t>
  </si>
  <si>
    <t xml:space="preserve">ACCT-9910</t>
  </si>
  <si>
    <t xml:space="preserve">customer_name</t>
  </si>
  <si>
    <t xml:space="preserve">Buyer / customer legal name</t>
  </si>
  <si>
    <t xml:space="preserve">General Hospital</t>
  </si>
  <si>
    <t xml:space="preserve">vendor_name</t>
  </si>
  <si>
    <t xml:space="preserve">Supplier providing the goods / services</t>
  </si>
  <si>
    <t xml:space="preserve">Agiliti Health Inc.</t>
  </si>
  <si>
    <t xml:space="preserve">business_line</t>
  </si>
  <si>
    <t xml:space="preserve">Buyer business unit / division</t>
  </si>
  <si>
    <t xml:space="preserve">Records Mgmt</t>
  </si>
  <si>
    <t xml:space="preserve">contract_owner</t>
  </si>
  <si>
    <t xml:space="preserve">Internal owner of the contract</t>
  </si>
  <si>
    <t xml:space="preserve">J. Rao</t>
  </si>
  <si>
    <t xml:space="preserve">approver</t>
  </si>
  <si>
    <t xml:space="preserve">Person who approved the contract</t>
  </si>
  <si>
    <t xml:space="preserve">M. Shah</t>
  </si>
  <si>
    <t xml:space="preserve">CONTRACT / AGREEMENT</t>
  </si>
  <si>
    <t xml:space="preserve">contract_category</t>
  </si>
  <si>
    <t xml:space="preserve">Normalized contract type — use Service Domains sub-category</t>
  </si>
  <si>
    <t xml:space="preserve">Equipment Rental</t>
  </si>
  <si>
    <t xml:space="preserve">contract_version</t>
  </si>
  <si>
    <t xml:space="preserve">Document version</t>
  </si>
  <si>
    <t xml:space="preserve">v2.1</t>
  </si>
  <si>
    <t xml:space="preserve">document_date</t>
  </si>
  <si>
    <t xml:space="preserve">Date on the contract document</t>
  </si>
  <si>
    <t xml:space="preserve">2025-03-01</t>
  </si>
  <si>
    <t xml:space="preserve">effective_date</t>
  </si>
  <si>
    <t xml:space="preserve">Contract start / effective date</t>
  </si>
  <si>
    <t xml:space="preserve">2025-04-01</t>
  </si>
  <si>
    <t xml:space="preserve">end_date</t>
  </si>
  <si>
    <t xml:space="preserve">Contract end date</t>
  </si>
  <si>
    <t xml:space="preserve">2028-03-31</t>
  </si>
  <si>
    <t xml:space="preserve">duration</t>
  </si>
  <si>
    <t xml:space="preserve">Text / Number</t>
  </si>
  <si>
    <t xml:space="preserve">Term length (months / years)</t>
  </si>
  <si>
    <t xml:space="preserve">36 months</t>
  </si>
  <si>
    <t xml:space="preserve">payment_due_date</t>
  </si>
  <si>
    <t xml:space="preserve">When payment is due</t>
  </si>
  <si>
    <t xml:space="preserve">2025-05-15</t>
  </si>
  <si>
    <t xml:space="preserve">payment_terms</t>
  </si>
  <si>
    <t xml:space="preserve">Payment terms</t>
  </si>
  <si>
    <t xml:space="preserve">Net 30</t>
  </si>
  <si>
    <t xml:space="preserve">match_flag</t>
  </si>
  <si>
    <t xml:space="preserve">Bool (Y/N)</t>
  </si>
  <si>
    <t xml:space="preserve">Reconciliation / match indicator</t>
  </si>
  <si>
    <t xml:space="preserve">Y</t>
  </si>
  <si>
    <t xml:space="preserve">BILLING &amp; INVOICE</t>
  </si>
  <si>
    <t xml:space="preserve">invoice_reference</t>
  </si>
  <si>
    <t xml:space="preserve">Source invoice number / reference (purchased svcs are invoice-billed)</t>
  </si>
  <si>
    <t xml:space="preserve">INV-20481</t>
  </si>
  <si>
    <t xml:space="preserve">billing_period</t>
  </si>
  <si>
    <t xml:space="preserve">Text / Date</t>
  </si>
  <si>
    <t xml:space="preserve">Period the charge covers</t>
  </si>
  <si>
    <t xml:space="preserve">2025-05</t>
  </si>
  <si>
    <t xml:space="preserve">LOCATION</t>
  </si>
  <si>
    <t xml:space="preserve">facility_name</t>
  </si>
  <si>
    <t xml:space="preserve">Site / facility name</t>
  </si>
  <si>
    <t xml:space="preserve">North Campus</t>
  </si>
  <si>
    <t xml:space="preserve">location</t>
  </si>
  <si>
    <t xml:space="preserve">Location descriptor</t>
  </si>
  <si>
    <t xml:space="preserve">Building B</t>
  </si>
  <si>
    <t xml:space="preserve">address</t>
  </si>
  <si>
    <t xml:space="preserve">Full postal address</t>
  </si>
  <si>
    <t xml:space="preserve">12 Main St, Pune</t>
  </si>
  <si>
    <t xml:space="preserve">LINE ITEM — IDENTIFICATION</t>
  </si>
  <si>
    <t xml:space="preserve">line_number</t>
  </si>
  <si>
    <t xml:space="preserve">Number</t>
  </si>
  <si>
    <t xml:space="preserve">Sequence of the line within a contract</t>
  </si>
  <si>
    <t xml:space="preserve">1</t>
  </si>
  <si>
    <t xml:space="preserve">item_category</t>
  </si>
  <si>
    <t xml:space="preserve">Normalized item / service type</t>
  </si>
  <si>
    <t xml:space="preserve">Service</t>
  </si>
  <si>
    <t xml:space="preserve">item_description</t>
  </si>
  <si>
    <t xml:space="preserve">Free-text description of the item</t>
  </si>
  <si>
    <t xml:space="preserve">Infusion pump rental</t>
  </si>
  <si>
    <t xml:space="preserve">product_code</t>
  </si>
  <si>
    <t xml:space="preserve">Vendor product / SKU code</t>
  </si>
  <si>
    <t xml:space="preserve">PRD-45</t>
  </si>
  <si>
    <t xml:space="preserve">matrix_code</t>
  </si>
  <si>
    <t xml:space="preserve">Pricing matrix code</t>
  </si>
  <si>
    <t xml:space="preserve">MX-7</t>
  </si>
  <si>
    <t xml:space="preserve">make</t>
  </si>
  <si>
    <t xml:space="preserve">Manufacturer / brand</t>
  </si>
  <si>
    <t xml:space="preserve">Baxter</t>
  </si>
  <si>
    <t xml:space="preserve">model</t>
  </si>
  <si>
    <t xml:space="preserve">Model</t>
  </si>
  <si>
    <t xml:space="preserve">Sigma Spectrum</t>
  </si>
  <si>
    <t xml:space="preserve">serial_number</t>
  </si>
  <si>
    <t xml:space="preserve">Asset serial number</t>
  </si>
  <si>
    <t xml:space="preserve">SN-88431</t>
  </si>
  <si>
    <t xml:space="preserve">QUANTITY &amp; SPECIFICATION</t>
  </si>
  <si>
    <t xml:space="preserve">quantity</t>
  </si>
  <si>
    <t xml:space="preserve">Count of units</t>
  </si>
  <si>
    <t xml:space="preserve">10</t>
  </si>
  <si>
    <t xml:space="preserve">unit_of_measure</t>
  </si>
  <si>
    <t xml:space="preserve">Basis unit — the vendor's "Per"</t>
  </si>
  <si>
    <t xml:space="preserve">Container / Hour</t>
  </si>
  <si>
    <t xml:space="preserve">container_size</t>
  </si>
  <si>
    <t xml:space="preserve">Size specification</t>
  </si>
  <si>
    <t xml:space="preserve">5 gal</t>
  </si>
  <si>
    <t xml:space="preserve">min_per_container</t>
  </si>
  <si>
    <t xml:space="preserve">Minimum quantity per container</t>
  </si>
  <si>
    <t xml:space="preserve">2</t>
  </si>
  <si>
    <t xml:space="preserve">service_level</t>
  </si>
  <si>
    <t xml:space="preserve">Service tier / level</t>
  </si>
  <si>
    <t xml:space="preserve">Premium</t>
  </si>
  <si>
    <t xml:space="preserve">service_visits_per_year</t>
  </si>
  <si>
    <t xml:space="preserve">Scheduled service visits per year</t>
  </si>
  <si>
    <t xml:space="preserve">4</t>
  </si>
  <si>
    <t xml:space="preserve">PRICING &amp; FINANCIALS</t>
  </si>
  <si>
    <t xml:space="preserve">pricing_model</t>
  </si>
  <si>
    <t xml:space="preserve">See Enums tab (per_unit / hourly / monthly / annual / multi_year / percent_of ...)</t>
  </si>
  <si>
    <t xml:space="preserve">monthly</t>
  </si>
  <si>
    <t xml:space="preserve">unit_price</t>
  </si>
  <si>
    <t xml:space="preserve">Number ($)</t>
  </si>
  <si>
    <t xml:space="preserve">Price per single unit / hour / lb</t>
  </si>
  <si>
    <t xml:space="preserve">45.00</t>
  </si>
  <si>
    <t xml:space="preserve">rate_basis</t>
  </si>
  <si>
    <t xml:space="preserve">What unit_price is charged per — see Enums tab</t>
  </si>
  <si>
    <t xml:space="preserve">per hour</t>
  </si>
  <si>
    <t xml:space="preserve">percent_rate</t>
  </si>
  <si>
    <t xml:space="preserve">Number (%)</t>
  </si>
  <si>
    <t xml:space="preserve">Rate when priced as % of a base — store as decimal (0.035 = 3.5%)</t>
  </si>
  <si>
    <t xml:space="preserve">0.035</t>
  </si>
  <si>
    <t xml:space="preserve">percent_basis</t>
  </si>
  <si>
    <t xml:space="preserve">What percent_rate is applied to</t>
  </si>
  <si>
    <t xml:space="preserve">collections / salary</t>
  </si>
  <si>
    <t xml:space="preserve">estimated_hours</t>
  </si>
  <si>
    <t xml:space="preserve">Estimated hours (per unit)</t>
  </si>
  <si>
    <t xml:space="preserve">120</t>
  </si>
  <si>
    <t xml:space="preserve">estimated_total_hours</t>
  </si>
  <si>
    <t xml:space="preserve">Total estimated hours</t>
  </si>
  <si>
    <t xml:space="preserve">1200</t>
  </si>
  <si>
    <t xml:space="preserve">monthly_amount</t>
  </si>
  <si>
    <t xml:space="preserve">Monthly charge / fee</t>
  </si>
  <si>
    <t xml:space="preserve">900.00</t>
  </si>
  <si>
    <t xml:space="preserve">annual_amount</t>
  </si>
  <si>
    <t xml:space="preserve">Annual charge / rate</t>
  </si>
  <si>
    <t xml:space="preserve">10800.00</t>
  </si>
  <si>
    <t xml:space="preserve">escalation_rate</t>
  </si>
  <si>
    <t xml:space="preserve">Annual price escalation / CPI uplift — decimal fraction</t>
  </si>
  <si>
    <t xml:space="preserve">0.03</t>
  </si>
  <si>
    <t xml:space="preserve">min_commitment</t>
  </si>
  <si>
    <t xml:space="preserve">Minimum spend / volume guarantee (floor)</t>
  </si>
  <si>
    <t xml:space="preserve">5000.00</t>
  </si>
  <si>
    <t xml:space="preserve">not_to_exceed</t>
  </si>
  <si>
    <t xml:space="preserve">Contract / line cap (NTE ceiling)</t>
  </si>
  <si>
    <t xml:space="preserve">50000.00</t>
  </si>
  <si>
    <t xml:space="preserve">installments</t>
  </si>
  <si>
    <t xml:space="preserve">Number of installments (amounts live in Pricing Schedule)</t>
  </si>
  <si>
    <t xml:space="preserve">12</t>
  </si>
  <si>
    <t xml:space="preserve">line_amount</t>
  </si>
  <si>
    <t xml:space="preserve">Extended amount for this line</t>
  </si>
  <si>
    <t xml:space="preserve">5400.00</t>
  </si>
  <si>
    <t xml:space="preserve">total_contract_value</t>
  </si>
  <si>
    <t xml:space="preserve">Total / estimated total cost (spend)</t>
  </si>
  <si>
    <t xml:space="preserve">32400.00</t>
  </si>
  <si>
    <t xml:space="preserve">currency</t>
  </si>
  <si>
    <t xml:space="preserve">Currency code</t>
  </si>
  <si>
    <t xml:space="preserve">USD</t>
  </si>
  <si>
    <t xml:space="preserve">TERMS &amp; NOTES</t>
  </si>
  <si>
    <t xml:space="preserve">terms</t>
  </si>
  <si>
    <t xml:space="preserve">Contractual terms</t>
  </si>
  <si>
    <t xml:space="preserve">Auto-renew</t>
  </si>
  <si>
    <t xml:space="preserve">comments</t>
  </si>
  <si>
    <t xml:space="preserve">Free-text notes</t>
  </si>
  <si>
    <t xml:space="preserve">Replaces PO-101</t>
  </si>
  <si>
    <t xml:space="preserve">response</t>
  </si>
  <si>
    <t xml:space="preserve">Vendor response / status</t>
  </si>
  <si>
    <t xml:space="preserve">Accepted</t>
  </si>
  <si>
    <t xml:space="preserve">Highlighted rows = fields added in the all-domain revision</t>
  </si>
  <si>
    <t xml:space="preserve">Vendor Field Crosswalk  —  Canonical  ⇄  Source</t>
  </si>
  <si>
    <t xml:space="preserve">Multi-year &amp; installment amounts are NOT columns here — IronMountain Year 1/2/3 and Agiliti installment amounts populate the Pricing Schedule tab (one row per period).</t>
  </si>
  <si>
    <t xml:space="preserve">Daniels</t>
  </si>
  <si>
    <t xml:space="preserve">IronMountain</t>
  </si>
  <si>
    <t xml:space="preserve">TecSys</t>
  </si>
  <si>
    <t xml:space="preserve"># Vendors</t>
  </si>
  <si>
    <t xml:space="preserve">Transformation / Notes</t>
  </si>
  <si>
    <t xml:space="preserve">Generated during extraction (surrogate key)</t>
  </si>
  <si>
    <t xml:space="preserve">Constant per source file</t>
  </si>
  <si>
    <t xml:space="preserve">Captured by the extraction pipeline</t>
  </si>
  <si>
    <t xml:space="preserve">System-generated</t>
  </si>
  <si>
    <t xml:space="preserve">Customer Account ID</t>
  </si>
  <si>
    <t xml:space="preserve">Account ID</t>
  </si>
  <si>
    <t xml:space="preserve">Confirm same ID space</t>
  </si>
  <si>
    <t xml:space="preserve">Customer Name</t>
  </si>
  <si>
    <t xml:space="preserve">Customer</t>
  </si>
  <si>
    <t xml:space="preserve">From source / vendor master data</t>
  </si>
  <si>
    <t xml:space="preserve">Business Line</t>
  </si>
  <si>
    <t xml:space="preserve">Contract Owner</t>
  </si>
  <si>
    <t xml:space="preserve">Approver</t>
  </si>
  <si>
    <t xml:space="preserve">Derived → map to a Service Domains sub-category</t>
  </si>
  <si>
    <t xml:space="preserve">Version</t>
  </si>
  <si>
    <t xml:space="preserve">Effective Date</t>
  </si>
  <si>
    <t xml:space="preserve">Start Date</t>
  </si>
  <si>
    <t xml:space="preserve">Standardize to ISO date</t>
  </si>
  <si>
    <t xml:space="preserve">End Date</t>
  </si>
  <si>
    <t xml:space="preserve">Terms</t>
  </si>
  <si>
    <t xml:space="preserve">Duration</t>
  </si>
  <si>
    <t xml:space="preserve">Parse from Agiliti 'Terms' if needed</t>
  </si>
  <si>
    <t xml:space="preserve">Payment Due Date</t>
  </si>
  <si>
    <t xml:space="preserve">Split from 'Terms' if it mixes duration + terms</t>
  </si>
  <si>
    <t xml:space="preserve">Match(y/n)</t>
  </si>
  <si>
    <t xml:space="preserve">Normalize to Y/N</t>
  </si>
  <si>
    <t xml:space="preserve">NEW — from the invoice when extracting invoice-level</t>
  </si>
  <si>
    <t xml:space="preserve">NEW — period the charge covers</t>
  </si>
  <si>
    <t xml:space="preserve">Facility Name</t>
  </si>
  <si>
    <t xml:space="preserve">Facility</t>
  </si>
  <si>
    <t xml:space="preserve">Location</t>
  </si>
  <si>
    <t xml:space="preserve">Address</t>
  </si>
  <si>
    <t xml:space="preserve">Generated per contract</t>
  </si>
  <si>
    <t xml:space="preserve">Container Type / Type</t>
  </si>
  <si>
    <t xml:space="preserve">Storage and Services</t>
  </si>
  <si>
    <t xml:space="preserve">Service / Services</t>
  </si>
  <si>
    <t xml:space="preserve">Resource Type</t>
  </si>
  <si>
    <t xml:space="preserve">Confirm Daniels 'Type' vs 'Container Type'; Agiliti 'Service' vs 'Services'</t>
  </si>
  <si>
    <t xml:space="preserve">Product Code</t>
  </si>
  <si>
    <t xml:space="preserve">Matrix Code</t>
  </si>
  <si>
    <t xml:space="preserve">Make</t>
  </si>
  <si>
    <t xml:space="preserve">Serial Number</t>
  </si>
  <si>
    <t xml:space="preserve">Units</t>
  </si>
  <si>
    <t xml:space="preserve">Qty</t>
  </si>
  <si>
    <t xml:space="preserve">Per</t>
  </si>
  <si>
    <t xml:space="preserve">Keep the vendor's meaning of the basis</t>
  </si>
  <si>
    <t xml:space="preserve">Container Size</t>
  </si>
  <si>
    <t xml:space="preserve">Min per Container</t>
  </si>
  <si>
    <t xml:space="preserve">Quantity floor (not a $ floor — see min_commitment)</t>
  </si>
  <si>
    <t xml:space="preserve">Service Level</t>
  </si>
  <si>
    <t xml:space="preserve">Service Visits Per Year</t>
  </si>
  <si>
    <t xml:space="preserve">Derived; see Enums tab</t>
  </si>
  <si>
    <t xml:space="preserve">Price per Lb</t>
  </si>
  <si>
    <t xml:space="preserve">Monthly Rate</t>
  </si>
  <si>
    <t xml:space="preserve">Hourly Rate</t>
  </si>
  <si>
    <t xml:space="preserve">Always pair with rate_basis</t>
  </si>
  <si>
    <t xml:space="preserve">per lb</t>
  </si>
  <si>
    <t xml:space="preserve">per period</t>
  </si>
  <si>
    <t xml:space="preserve">per month</t>
  </si>
  <si>
    <t xml:space="preserve">NEW — % pricing (rev cycle / recruiting / PBM / banking)</t>
  </si>
  <si>
    <t xml:space="preserve">NEW — collections / salary / transaction / savings</t>
  </si>
  <si>
    <t xml:space="preserve">Estimated hours</t>
  </si>
  <si>
    <t xml:space="preserve">Estimated Total hours</t>
  </si>
  <si>
    <t xml:space="preserve">Monthly Service Fee / Monthly Rate</t>
  </si>
  <si>
    <t xml:space="preserve">Confirm fee vs rate</t>
  </si>
  <si>
    <t xml:space="preserve">Annual Rate</t>
  </si>
  <si>
    <t xml:space="preserve">NEW — CPI / annual uplift (facilities, food, multi-year)</t>
  </si>
  <si>
    <t xml:space="preserve">NEW — minimum spend / volume guarantee</t>
  </si>
  <si>
    <t xml:space="preserve">NEW — contract / line cap (NTE)</t>
  </si>
  <si>
    <t xml:space="preserve">Installments</t>
  </si>
  <si>
    <t xml:space="preserve">Count only — amounts go to Pricing Schedule</t>
  </si>
  <si>
    <t xml:space="preserve">Amount</t>
  </si>
  <si>
    <t xml:space="preserve">Service Fee</t>
  </si>
  <si>
    <t xml:space="preserve">Estimated Cost</t>
  </si>
  <si>
    <t xml:space="preserve">Per-line charge</t>
  </si>
  <si>
    <t xml:space="preserve">Spend</t>
  </si>
  <si>
    <t xml:space="preserve">Estimated Total Cost</t>
  </si>
  <si>
    <t xml:space="preserve">Agiliti 'Spend' vs 'Service Fee' = total vs per-line</t>
  </si>
  <si>
    <t xml:space="preserve">Default USD unless stated</t>
  </si>
  <si>
    <t xml:space="preserve">Comments</t>
  </si>
  <si>
    <t xml:space="preserve">Response</t>
  </si>
  <si>
    <t xml:space="preserve">Service Domains  —  controlled value set for  contract_category  (Domain → Sub-category)</t>
  </si>
  <si>
    <t xml:space="preserve">Sub-category = the contract_category value; Domain = roll-up. Pricing Model / Rate Basis map to pricing_model &amp; rate_basis. ★ = domain covered by a current vendor.</t>
  </si>
  <si>
    <t xml:space="preserve">Domain (roll-up)</t>
  </si>
  <si>
    <t xml:space="preserve">Sub-category  (contract_category value)</t>
  </si>
  <si>
    <t xml:space="preserve">Clinical / Non-clinical</t>
  </si>
  <si>
    <t xml:space="preserve">Typical Pricing Model</t>
  </si>
  <si>
    <t xml:space="preserve">Typical Rate Basis</t>
  </si>
  <si>
    <t xml:space="preserve">Example Vendor</t>
  </si>
  <si>
    <t xml:space="preserve">Clinical &amp; Patient Care</t>
  </si>
  <si>
    <t xml:space="preserve">Contracted Physician Staffing</t>
  </si>
  <si>
    <t xml:space="preserve">Clinical</t>
  </si>
  <si>
    <t xml:space="preserve">per_unit / hourly</t>
  </si>
  <si>
    <t xml:space="preserve">per hour / per shift</t>
  </si>
  <si>
    <t xml:space="preserve">Locum Tenens Staffing</t>
  </si>
  <si>
    <t xml:space="preserve">hourly</t>
  </si>
  <si>
    <t xml:space="preserve">per day / per hour</t>
  </si>
  <si>
    <t xml:space="preserve">Dialysis Services</t>
  </si>
  <si>
    <t xml:space="preserve">per_unit</t>
  </si>
  <si>
    <t xml:space="preserve">per treatment</t>
  </si>
  <si>
    <t xml:space="preserve">Perfusion Services</t>
  </si>
  <si>
    <t xml:space="preserve">per case</t>
  </si>
  <si>
    <t xml:space="preserve">Therapy Services (PT/OT/Speech)</t>
  </si>
  <si>
    <t xml:space="preserve">per visit</t>
  </si>
  <si>
    <t xml:space="preserve">Wound Care Management</t>
  </si>
  <si>
    <t xml:space="preserve">monthly / per_unit</t>
  </si>
  <si>
    <t xml:space="preserve">Sleep Study Services</t>
  </si>
  <si>
    <t xml:space="preserve">per study</t>
  </si>
  <si>
    <t xml:space="preserve">Mobile Imaging / Cath / PET</t>
  </si>
  <si>
    <t xml:space="preserve">per_unit / per_day</t>
  </si>
  <si>
    <t xml:space="preserve">per scan / per day</t>
  </si>
  <si>
    <t xml:space="preserve">Telehealth / Telemedicine</t>
  </si>
  <si>
    <t xml:space="preserve">per_unit / monthly</t>
  </si>
  <si>
    <t xml:space="preserve">per consult / per member</t>
  </si>
  <si>
    <t xml:space="preserve">Blood &amp; Blood Products</t>
  </si>
  <si>
    <t xml:space="preserve">per unit</t>
  </si>
  <si>
    <t xml:space="preserve">Organ Procurement</t>
  </si>
  <si>
    <t xml:space="preserve">Patient Transport / Ambulance / NEMT</t>
  </si>
  <si>
    <t xml:space="preserve">per trip / per mile</t>
  </si>
  <si>
    <t xml:space="preserve">Diagnostic &amp; Laboratory</t>
  </si>
  <si>
    <t xml:space="preserve">Reference / Send-out Lab</t>
  </si>
  <si>
    <t xml:space="preserve">per test</t>
  </si>
  <si>
    <t xml:space="preserve">Pathology Services</t>
  </si>
  <si>
    <t xml:space="preserve">per specimen</t>
  </si>
  <si>
    <t xml:space="preserve">Specialty / Clinical-Trial Testing</t>
  </si>
  <si>
    <t xml:space="preserve">Cardiac Monitoring &amp; Telemetry</t>
  </si>
  <si>
    <t xml:space="preserve">per patient-day</t>
  </si>
  <si>
    <t xml:space="preserve">Medical Transcription</t>
  </si>
  <si>
    <t xml:space="preserve">Non-clinical</t>
  </si>
  <si>
    <t xml:space="preserve">per line / per minute</t>
  </si>
  <si>
    <t xml:space="preserve">Biomedical / Clinical Engineering &amp; Equipment</t>
  </si>
  <si>
    <t xml:space="preserve">Medical Equipment Rental</t>
  </si>
  <si>
    <t xml:space="preserve">per unit / per month</t>
  </si>
  <si>
    <t xml:space="preserve">Agiliti ★</t>
  </si>
  <si>
    <t xml:space="preserve">Clinical Engineering / Biomed Maintenance</t>
  </si>
  <si>
    <t xml:space="preserve">annual / monthly</t>
  </si>
  <si>
    <t xml:space="preserve">per contract / per device</t>
  </si>
  <si>
    <t xml:space="preserve">Imaging Equipment Service Contracts</t>
  </si>
  <si>
    <t xml:space="preserve">annual</t>
  </si>
  <si>
    <t xml:space="preserve">per year</t>
  </si>
  <si>
    <t xml:space="preserve">Sterile Processing / Reprocessing</t>
  </si>
  <si>
    <t xml:space="preserve">per tray</t>
  </si>
  <si>
    <t xml:space="preserve">Managed Equipment / Installment Programs</t>
  </si>
  <si>
    <t xml:space="preserve">multi_year / monthly</t>
  </si>
  <si>
    <t xml:space="preserve">per installment</t>
  </si>
  <si>
    <t xml:space="preserve">Waste &amp; Environmental Compliance</t>
  </si>
  <si>
    <t xml:space="preserve">Regulated Medical / Sharps Waste</t>
  </si>
  <si>
    <t xml:space="preserve">per lb / per container</t>
  </si>
  <si>
    <t xml:space="preserve">Daniels ★</t>
  </si>
  <si>
    <t xml:space="preserve">Pharmaceutical / Chemo Waste</t>
  </si>
  <si>
    <t xml:space="preserve">per container</t>
  </si>
  <si>
    <t xml:space="preserve">Hazardous / Chemical Waste</t>
  </si>
  <si>
    <t xml:space="preserve">Solid Waste &amp; Recycling</t>
  </si>
  <si>
    <t xml:space="preserve">per pickup / per haul</t>
  </si>
  <si>
    <t xml:space="preserve">Document / E-waste Destruction</t>
  </si>
  <si>
    <t xml:space="preserve">per bin</t>
  </si>
  <si>
    <t xml:space="preserve">Records &amp; Information Management</t>
  </si>
  <si>
    <t xml:space="preserve">Physical Records Storage &amp; Retrieval</t>
  </si>
  <si>
    <t xml:space="preserve">per box / per month</t>
  </si>
  <si>
    <t xml:space="preserve">Iron Mountain ★</t>
  </si>
  <si>
    <t xml:space="preserve">Document Scanning / Digitization</t>
  </si>
  <si>
    <t xml:space="preserve">per image / per box</t>
  </si>
  <si>
    <t xml:space="preserve">Secure Shredding / Destruction</t>
  </si>
  <si>
    <t xml:space="preserve">per bin / per lb</t>
  </si>
  <si>
    <t xml:space="preserve">Data / Media Storage &amp; Archival</t>
  </si>
  <si>
    <t xml:space="preserve">per GB / per month</t>
  </si>
  <si>
    <t xml:space="preserve">Facilities &amp; Environmental Operations</t>
  </si>
  <si>
    <t xml:space="preserve">Environmental Services / Housekeeping</t>
  </si>
  <si>
    <t xml:space="preserve">monthly / annual</t>
  </si>
  <si>
    <t xml:space="preserve">per sq ft / per month</t>
  </si>
  <si>
    <t xml:space="preserve">Laundry &amp; Linen</t>
  </si>
  <si>
    <t xml:space="preserve">per lb / per unit</t>
  </si>
  <si>
    <t xml:space="preserve">Food &amp; Nutrition / Dining Management</t>
  </si>
  <si>
    <t xml:space="preserve">per meal / management fee</t>
  </si>
  <si>
    <t xml:space="preserve">Facilities Management / HVAC / Plant Ops</t>
  </si>
  <si>
    <t xml:space="preserve">per contract / per sq ft</t>
  </si>
  <si>
    <t xml:space="preserve">Elevator / Fire-Life-Safety / Generator Maint.</t>
  </si>
  <si>
    <t xml:space="preserve">Security Services</t>
  </si>
  <si>
    <t xml:space="preserve">hourly / monthly</t>
  </si>
  <si>
    <t xml:space="preserve">Pest Control / Grounds / Landscaping</t>
  </si>
  <si>
    <t xml:space="preserve">per visit / per month</t>
  </si>
  <si>
    <t xml:space="preserve">Parking &amp; Valet</t>
  </si>
  <si>
    <t xml:space="preserve">per space / per car</t>
  </si>
  <si>
    <t xml:space="preserve">Energy / Utilities Management</t>
  </si>
  <si>
    <t xml:space="preserve">per kWh / management fee</t>
  </si>
  <si>
    <t xml:space="preserve">Construction / Architecture / Engineering</t>
  </si>
  <si>
    <t xml:space="preserve">per_project / hourly</t>
  </si>
  <si>
    <t xml:space="preserve">per project / per hour</t>
  </si>
  <si>
    <t xml:space="preserve">IT &amp; Technology Services</t>
  </si>
  <si>
    <t xml:space="preserve">Software Licensing &amp; SaaS (EHR/ERP/SCM)</t>
  </si>
  <si>
    <t xml:space="preserve">per user / per year</t>
  </si>
  <si>
    <t xml:space="preserve">TecSys ★</t>
  </si>
  <si>
    <t xml:space="preserve">Implementation / Integration / Prof. Services</t>
  </si>
  <si>
    <t xml:space="preserve">Managed IT / Help Desk / Hosting</t>
  </si>
  <si>
    <t xml:space="preserve">per device / per user</t>
  </si>
  <si>
    <t xml:space="preserve">Cybersecurity Services</t>
  </si>
  <si>
    <t xml:space="preserve">Telecom &amp; Networking</t>
  </si>
  <si>
    <t xml:space="preserve">per line / per circuit</t>
  </si>
  <si>
    <t xml:space="preserve">Data / Analytics Services</t>
  </si>
  <si>
    <t xml:space="preserve">subscription / per year</t>
  </si>
  <si>
    <t xml:space="preserve">Revenue Cycle &amp; Financial Services</t>
  </si>
  <si>
    <t xml:space="preserve">Revenue Cycle Mgmt / Coding / Billing</t>
  </si>
  <si>
    <t xml:space="preserve">percent_of</t>
  </si>
  <si>
    <t xml:space="preserve">% of collections</t>
  </si>
  <si>
    <t xml:space="preserve">Collections / Early-out</t>
  </si>
  <si>
    <t xml:space="preserve">% of recovered</t>
  </si>
  <si>
    <t xml:space="preserve">Claims / Denials Management</t>
  </si>
  <si>
    <t xml:space="preserve">percent_of / per_unit</t>
  </si>
  <si>
    <t xml:space="preserve">% / per claim</t>
  </si>
  <si>
    <t xml:space="preserve">Pharmacy Benefit Mgmt (PBM) / 340B Admin</t>
  </si>
  <si>
    <t xml:space="preserve">per_unit / percent_of</t>
  </si>
  <si>
    <t xml:space="preserve">per Rx / % of savings</t>
  </si>
  <si>
    <t xml:space="preserve">Banking / Payment Processing</t>
  </si>
  <si>
    <t xml:space="preserve">% of transaction</t>
  </si>
  <si>
    <t xml:space="preserve">Audit / Tax / Actuarial</t>
  </si>
  <si>
    <t xml:space="preserve">per engagement</t>
  </si>
  <si>
    <t xml:space="preserve">Professional &amp; Administrative Services</t>
  </si>
  <si>
    <t xml:space="preserve">Legal Services</t>
  </si>
  <si>
    <t xml:space="preserve">hourly / retainer</t>
  </si>
  <si>
    <t xml:space="preserve">Management / Operational Consulting</t>
  </si>
  <si>
    <t xml:space="preserve">hourly / per_project</t>
  </si>
  <si>
    <t xml:space="preserve">per hour / per project</t>
  </si>
  <si>
    <t xml:space="preserve">Marketing / Advertising / PR</t>
  </si>
  <si>
    <t xml:space="preserve">per_project / monthly</t>
  </si>
  <si>
    <t xml:space="preserve">per project / retainer</t>
  </si>
  <si>
    <t xml:space="preserve">Insurance &amp; Risk Management</t>
  </si>
  <si>
    <t xml:space="preserve">premium / per policy</t>
  </si>
  <si>
    <t xml:space="preserve">Language / Interpretation &amp; Translation</t>
  </si>
  <si>
    <t xml:space="preserve">per minute / per word</t>
  </si>
  <si>
    <t xml:space="preserve">Credentialing / Background Checks</t>
  </si>
  <si>
    <t xml:space="preserve">per check</t>
  </si>
  <si>
    <t xml:space="preserve">Training &amp; Education</t>
  </si>
  <si>
    <t xml:space="preserve">per_unit / per_project</t>
  </si>
  <si>
    <t xml:space="preserve">per session / per seat</t>
  </si>
  <si>
    <t xml:space="preserve">Print / Mail / Courier</t>
  </si>
  <si>
    <t xml:space="preserve">per piece</t>
  </si>
  <si>
    <t xml:space="preserve">Workforce &amp; Staffing (Non-clinical)</t>
  </si>
  <si>
    <t xml:space="preserve">Temporary / Contract Labor</t>
  </si>
  <si>
    <t xml:space="preserve">Recruiting &amp; Search</t>
  </si>
  <si>
    <t xml:space="preserve">% of salary</t>
  </si>
  <si>
    <t xml:space="preserve">Payroll / HR Outsourcing</t>
  </si>
  <si>
    <t xml:space="preserve">per employee / per month</t>
  </si>
  <si>
    <t xml:space="preserve">Logistics &amp; Supply-Chain Services</t>
  </si>
  <si>
    <t xml:space="preserve">Freight / Parcel / LTL / Managed Freight</t>
  </si>
  <si>
    <t xml:space="preserve">per shipment</t>
  </si>
  <si>
    <t xml:space="preserve">Warehousing &amp; Distribution</t>
  </si>
  <si>
    <t xml:space="preserve">per pallet / per sq ft</t>
  </si>
  <si>
    <t xml:space="preserve">Courier / Specimen Transport</t>
  </si>
  <si>
    <t xml:space="preserve">per run</t>
  </si>
  <si>
    <t xml:space="preserve">Pricing Schedule  —  child table (1 row per period)  ·  join on record_id</t>
  </si>
  <si>
    <t xml:space="preserve">Holds multi-year, stepped, and installment pricing so the flat schema stays one-row-per-line. IronMountain Year 1/2/3 → three rows here; Agiliti installments → one row per installment. amount_type ∈ {year, installment, step, usage_tier}.</t>
  </si>
  <si>
    <t xml:space="preserve">schedule_id</t>
  </si>
  <si>
    <t xml:space="preserve">record_id (FK)</t>
  </si>
  <si>
    <t xml:space="preserve">contract_reference</t>
  </si>
  <si>
    <t xml:space="preserve">period_seq</t>
  </si>
  <si>
    <t xml:space="preserve">period_label</t>
  </si>
  <si>
    <t xml:space="preserve">period_start</t>
  </si>
  <si>
    <t xml:space="preserve">period_end</t>
  </si>
  <si>
    <t xml:space="preserve">scheduled_amount</t>
  </si>
  <si>
    <t xml:space="preserve">SCH-0001</t>
  </si>
  <si>
    <t xml:space="preserve">REC-000002</t>
  </si>
  <si>
    <t xml:space="preserve">IronMtn-2025</t>
  </si>
  <si>
    <t xml:space="preserve">Year 1</t>
  </si>
  <si>
    <t xml:space="preserve">2025-01-01</t>
  </si>
  <si>
    <t xml:space="preserve">2025-12-31</t>
  </si>
  <si>
    <t xml:space="preserve">SCH-0002</t>
  </si>
  <si>
    <t xml:space="preserve">Year 2</t>
  </si>
  <si>
    <t xml:space="preserve">2026-01-01</t>
  </si>
  <si>
    <t xml:space="preserve">2026-12-31</t>
  </si>
  <si>
    <t xml:space="preserve">SCH-0003</t>
  </si>
  <si>
    <t xml:space="preserve">3</t>
  </si>
  <si>
    <t xml:space="preserve">Year 3</t>
  </si>
  <si>
    <t xml:space="preserve">2027-01-01</t>
  </si>
  <si>
    <t xml:space="preserve">2027-12-31</t>
  </si>
  <si>
    <t xml:space="preserve">SCH-0004</t>
  </si>
  <si>
    <t xml:space="preserve">REC-000003</t>
  </si>
  <si>
    <t xml:space="preserve">Agiliti-INST</t>
  </si>
  <si>
    <t xml:space="preserve">Installment 1</t>
  </si>
  <si>
    <t xml:space="preserve">2025-04-30</t>
  </si>
  <si>
    <t xml:space="preserve">SCH-0005</t>
  </si>
  <si>
    <t xml:space="preserve">Installment 2</t>
  </si>
  <si>
    <t xml:space="preserve">2025-05-01</t>
  </si>
  <si>
    <t xml:space="preserve">2025-05-31</t>
  </si>
  <si>
    <t xml:space="preserve">Enums  —  controlled value sets</t>
  </si>
  <si>
    <t xml:space="preserve">Enum Field</t>
  </si>
  <si>
    <t xml:space="preserve">Allowed Value</t>
  </si>
  <si>
    <t xml:space="preserve">Notes</t>
  </si>
  <si>
    <t xml:space="preserve">Charged per discrete unit (× quantity)</t>
  </si>
  <si>
    <t xml:space="preserve">Time &amp; materials; pair with estimated_hours</t>
  </si>
  <si>
    <t xml:space="preserve">Recurring monthly fee</t>
  </si>
  <si>
    <t xml:space="preserve">Recurring annual fee</t>
  </si>
  <si>
    <t xml:space="preserve">multi_year</t>
  </si>
  <si>
    <t xml:space="preserve">Amounts vary by year → Pricing Schedule</t>
  </si>
  <si>
    <t xml:space="preserve">installment</t>
  </si>
  <si>
    <t xml:space="preserve">Fixed installments → Pricing Schedule</t>
  </si>
  <si>
    <t xml:space="preserve">% of a base; use percent_rate + percent_basis</t>
  </si>
  <si>
    <t xml:space="preserve">per_project</t>
  </si>
  <si>
    <t xml:space="preserve">Fixed project / milestone fee</t>
  </si>
  <si>
    <t xml:space="preserve">retainer</t>
  </si>
  <si>
    <t xml:space="preserve">Fixed recurring retainer</t>
  </si>
  <si>
    <t xml:space="preserve">capitation</t>
  </si>
  <si>
    <t xml:space="preserve">Per-member-per-period</t>
  </si>
  <si>
    <t xml:space="preserve">tiered</t>
  </si>
  <si>
    <t xml:space="preserve">Volume / usage tiers → Pricing Schedule</t>
  </si>
  <si>
    <t xml:space="preserve">Weight-based (waste)</t>
  </si>
  <si>
    <t xml:space="preserve">per box</t>
  </si>
  <si>
    <t xml:space="preserve">per day / per shift</t>
  </si>
  <si>
    <t xml:space="preserve">per month / per year</t>
  </si>
  <si>
    <t xml:space="preserve">per test / per specimen</t>
  </si>
  <si>
    <t xml:space="preserve">Lab / pathology</t>
  </si>
  <si>
    <t xml:space="preserve">per case / per visit</t>
  </si>
  <si>
    <t xml:space="preserve">Transport</t>
  </si>
  <si>
    <t xml:space="preserve">per meal</t>
  </si>
  <si>
    <t xml:space="preserve">Food service</t>
  </si>
  <si>
    <t xml:space="preserve">per sq ft</t>
  </si>
  <si>
    <t xml:space="preserve">EVS / facilities</t>
  </si>
  <si>
    <t xml:space="preserve">per FTE</t>
  </si>
  <si>
    <t xml:space="preserve">Labor-based service</t>
  </si>
  <si>
    <t xml:space="preserve">per kWh</t>
  </si>
  <si>
    <t xml:space="preserve">Energy</t>
  </si>
  <si>
    <t xml:space="preserve">per shipment / per pallet</t>
  </si>
  <si>
    <t xml:space="preserve">Logistics</t>
  </si>
  <si>
    <t xml:space="preserve">per member / per Rx</t>
  </si>
  <si>
    <t xml:space="preserve">Telehealth / PBM</t>
  </si>
  <si>
    <t xml:space="preserve">per GB / per image</t>
  </si>
  <si>
    <t xml:space="preserve">Data / scanning</t>
  </si>
  <si>
    <t xml:space="preserve">percent</t>
  </si>
  <si>
    <t xml:space="preserve">Use with percent_of</t>
  </si>
  <si>
    <t xml:space="preserve">flat</t>
  </si>
  <si>
    <t xml:space="preserve">Single fixed amount</t>
  </si>
  <si>
    <t xml:space="preserve">spend_type</t>
  </si>
  <si>
    <t xml:space="preserve">direct</t>
  </si>
  <si>
    <t xml:space="preserve">Clinical/med-surg supply spend</t>
  </si>
  <si>
    <t xml:space="preserve">purchased_service</t>
  </si>
  <si>
    <t xml:space="preserve">Contracted service, supply-chain managed</t>
  </si>
  <si>
    <t xml:space="preserve">indirect</t>
  </si>
  <si>
    <t xml:space="preserve">Department-sourced non-clinical spend</t>
  </si>
  <si>
    <t xml:space="preserve">clinical_flag</t>
  </si>
  <si>
    <t xml:space="preserve">amount_type</t>
  </si>
  <si>
    <t xml:space="preserve">year</t>
  </si>
  <si>
    <t xml:space="preserve">Pricing Schedule period type</t>
  </si>
  <si>
    <t xml:space="preserve">step</t>
  </si>
  <si>
    <t xml:space="preserve">usage_tier</t>
  </si>
  <si>
    <t xml:space="preserve">N</t>
  </si>
  <si>
    <t xml:space="preserve">Extract Template  —  one row per contract line (yellow = examples, delete before use)</t>
  </si>
  <si>
    <t xml:space="preserve">REC-000001</t>
  </si>
  <si>
    <t xml:space="preserve">Daniels Health</t>
  </si>
  <si>
    <t xml:space="preserve">Sharps Container</t>
  </si>
  <si>
    <t xml:space="preserve">Red sharps container pickup</t>
  </si>
  <si>
    <t xml:space="preserve">Container</t>
  </si>
  <si>
    <t xml:space="preserve">Weekly</t>
  </si>
  <si>
    <t xml:space="preserve">Iron Mountain Inc.</t>
  </si>
  <si>
    <t xml:space="preserve">Box storage + retrieval</t>
  </si>
  <si>
    <t xml:space="preserve">Box</t>
  </si>
  <si>
    <t xml:space="preserve">Yearly amounts in Pricing Schedule</t>
  </si>
  <si>
    <t xml:space="preserve">ACCT-3321</t>
  </si>
  <si>
    <t xml:space="preserve">ICU Wing</t>
  </si>
  <si>
    <t xml:space="preserve">Unit</t>
  </si>
  <si>
    <t xml:space="preserve">Installments in Pricing Schedule</t>
  </si>
  <si>
    <t xml:space="preserve">REC-000004</t>
  </si>
  <si>
    <t xml:space="preserve">TecSys Inc.</t>
  </si>
  <si>
    <t xml:space="preserve">2025-09-30</t>
  </si>
  <si>
    <t xml:space="preserve">6 months</t>
  </si>
  <si>
    <t xml:space="preserve">Senior integration consultant</t>
  </si>
  <si>
    <t xml:space="preserve">T&amp;M</t>
  </si>
  <si>
    <t xml:space="preserve">REC-000005</t>
  </si>
  <si>
    <t xml:space="preserve">(example) RevCycle Co</t>
  </si>
  <si>
    <t xml:space="preserve">RevCycle Co</t>
  </si>
  <si>
    <t xml:space="preserve">Outsourced billing &amp; collections</t>
  </si>
  <si>
    <t xml:space="preserve">net collections</t>
  </si>
  <si>
    <t xml:space="preserve">Demonstrates percent_of pricing</t>
  </si>
  <si>
    <t xml:space="preserve">How to use this workbook</t>
  </si>
  <si>
    <t xml:space="preserve">Canonical Schema</t>
  </si>
  <si>
    <t xml:space="preserve">The single all-domain standard table. 57 fields in 9 sections. 'Grain' = Header (repeats per contract) or Line (per line item). Orange rows = fields added to cover every domain.</t>
  </si>
  <si>
    <t xml:space="preserve">Vendor Crosswalk</t>
  </si>
  <si>
    <t xml:space="preserve">Each canonical field → the source column in Daniels / IronMountain / Agiliti / TecSys. Gray = no equivalent; '# Vendors' counts coverage; Notes flag derivations.</t>
  </si>
  <si>
    <t xml:space="preserve">Service Domains</t>
  </si>
  <si>
    <t xml:space="preserve">Controlled value set for contract_category: 67 sub-categories across 11 domains, each with its typical pricing model and rate basis. ★ = covered by a current vendor.</t>
  </si>
  <si>
    <t xml:space="preserve">Pricing Schedule</t>
  </si>
  <si>
    <t xml:space="preserve">Child table for multi-year / stepped / installment pricing. One row per period, joined to a line via record_id. Keeps the flat schema at one row per line.</t>
  </si>
  <si>
    <t xml:space="preserve">Enums</t>
  </si>
  <si>
    <t xml:space="preserve">Allowed values for pricing_model, rate_basis, spend_type, clinical_flag, amount_type, match_flag. Point data-validation dropdowns here.</t>
  </si>
  <si>
    <t xml:space="preserve">Extract Template</t>
  </si>
  <si>
    <t xml:space="preserve">Canonical headers ready to fill. Five yellow example rows (four vendors + one percent_of example) show the shape. Delete before loading real data.</t>
  </si>
  <si>
    <t xml:space="preserve">What changed (all-domain revision)</t>
  </si>
  <si>
    <t xml:space="preserve">Added 7 fields: invoice_reference, billing_period, percent_rate, percent_basis, escalation_rate, min_commitment, not_to_exceed. Moved multi-year (was Year 1/2/3 columns) and installment amounts into the Pricing Schedule child table. Added Enums tab.</t>
  </si>
  <si>
    <t xml:space="preserve">Gaps now closed</t>
  </si>
  <si>
    <t xml:space="preserve">percent_of pricing (rev cycle / recruiting / PBM / banking); multi-year beyond 3 years; CPI escalation; minimum guarantees &amp; not-to-exceed caps; invoice-level billing grain.</t>
  </si>
  <si>
    <t xml:space="preserve">Grain reminder</t>
  </si>
  <si>
    <t xml:space="preserve">Flat table = line-item grain; header fields repeat down each line. For a normalized build, split into Contract Header + Line Item + Pricing Schedule joined on contract_id / record_id.</t>
  </si>
  <si>
    <t xml:space="preserve">Extending to new vendors</t>
  </si>
  <si>
    <t xml:space="preserve">Add a column in Vendor Crosswalk and map its fields to existing canonical rows. Add a Service Domains sub-category if a new service type appears. Add a canonical field only for a genuinely new concept.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</si>
</sst>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134F5C"/>
      </patternFill>
    </fill>
    <fill>
      <patternFill patternType="solid">
        <fgColor rgb="FF2E5496"/>
        <bgColor rgb="FF0B5394"/>
      </patternFill>
    </fill>
    <fill>
      <patternFill patternType="solid">
        <fgColor rgb="FF7030A0"/>
        <bgColor rgb="FF5B2C87"/>
      </patternFill>
    </fill>
    <fill>
      <patternFill patternType="solid">
        <fgColor rgb="FF1F7A54"/>
        <bgColor rgb="FF339966"/>
      </patternFill>
    </fill>
    <fill>
      <patternFill patternType="solid">
        <fgColor rgb="FFC55A11"/>
        <bgColor rgb="FF996515"/>
      </patternFill>
    </fill>
    <fill>
      <patternFill patternType="solid">
        <fgColor rgb="FF996515"/>
        <bgColor rgb="FF7F6000"/>
      </patternFill>
    </fill>
    <fill>
      <patternFill patternType="solid">
        <fgColor rgb="FFFCE4D6"/>
        <bgColor rgb="FFFFF2CC"/>
      </patternFill>
    </fill>
    <fill>
      <patternFill patternType="solid">
        <fgColor rgb="FF0B5394"/>
        <bgColor rgb="FF2E5496"/>
      </patternFill>
    </fill>
    <fill>
      <patternFill patternType="solid">
        <fgColor rgb="FF990000"/>
        <bgColor rgb="FF800000"/>
      </patternFill>
    </fill>
    <fill>
      <patternFill patternType="solid">
        <fgColor rgb="FF7F6000"/>
        <bgColor rgb="FF996515"/>
      </patternFill>
    </fill>
    <fill>
      <patternFill patternType="solid">
        <fgColor rgb="FF134F5C"/>
        <bgColor rgb="FF0F5132"/>
      </patternFill>
    </fill>
    <fill>
      <patternFill patternType="solid">
        <fgColor rgb="FF5B5B5B"/>
        <bgColor rgb="FF595959"/>
      </patternFill>
    </fill>
    <fill>
      <patternFill patternType="solid">
        <fgColor rgb="FFEDEDED"/>
        <bgColor rgb="FFFCE4D6"/>
      </patternFill>
    </fill>
    <fill>
      <patternFill patternType="solid">
        <fgColor rgb="FF7F1D1D"/>
        <bgColor rgb="FF800000"/>
      </patternFill>
    </fill>
    <fill>
      <patternFill patternType="solid">
        <fgColor rgb="FF5B2C87"/>
        <bgColor rgb="FF7030A0"/>
      </patternFill>
    </fill>
    <fill>
      <patternFill patternType="solid">
        <fgColor rgb="FF0F5132"/>
        <bgColor rgb="FF134F5C"/>
      </patternFill>
    </fill>
    <fill>
      <patternFill patternType="solid">
        <fgColor rgb="FF6B4E00"/>
        <bgColor rgb="FF7F6000"/>
      </patternFill>
    </fill>
    <fill>
      <patternFill patternType="solid">
        <fgColor rgb="FF444444"/>
        <bgColor rgb="FF595959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0B5394"/>
          <bgColor rgb="FF000000"/>
        </patternFill>
      </fill>
    </dxf>
    <dxf>
      <fill>
        <patternFill patternType="solid">
          <fgColor rgb="FF134F5C"/>
          <bgColor rgb="FF000000"/>
        </patternFill>
      </fill>
    </dxf>
    <dxf>
      <fill>
        <patternFill patternType="solid">
          <fgColor rgb="FF1F7A54"/>
          <bgColor rgb="FF000000"/>
        </patternFill>
      </fill>
    </dxf>
    <dxf>
      <fill>
        <patternFill patternType="solid">
          <fgColor rgb="FF2E5496"/>
          <bgColor rgb="FF000000"/>
        </patternFill>
      </fill>
    </dxf>
    <dxf>
      <fill>
        <patternFill patternType="solid">
          <fgColor rgb="FF5B5B5B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ill>
        <patternFill patternType="solid">
          <fgColor rgb="FF996515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F5132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5B2C87"/>
          <bgColor rgb="FF000000"/>
        </patternFill>
      </fill>
    </dxf>
    <dxf>
      <fill>
        <patternFill patternType="solid">
          <fgColor rgb="FF6B4E00"/>
          <bgColor rgb="FF000000"/>
        </patternFill>
      </fill>
    </dxf>
    <dxf>
      <fill>
        <patternFill patternType="solid">
          <fgColor rgb="FF7F1D1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7F6000"/>
      <rgbColor rgb="FF800080"/>
      <rgbColor rgb="FF1F7A54"/>
      <rgbColor rgb="FFBFBFBF"/>
      <rgbColor rgb="FF595959"/>
      <rgbColor rgb="FF9999FF"/>
      <rgbColor rgb="FF7030A0"/>
      <rgbColor rgb="FFFFF2CC"/>
      <rgbColor rgb="FFEDEDED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134F5C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5496"/>
      <rgbColor rgb="FF33CCCC"/>
      <rgbColor rgb="FF99CC00"/>
      <rgbColor rgb="FFFFCC00"/>
      <rgbColor rgb="FFFF9900"/>
      <rgbColor rgb="FFC55A11"/>
      <rgbColor rgb="FF5B5B5B"/>
      <rgbColor rgb="FF969696"/>
      <rgbColor rgb="FF1F3864"/>
      <rgbColor rgb="FF339966"/>
      <rgbColor rgb="FF0F5132"/>
      <rgbColor rgb="FF6B4E00"/>
      <rgbColor rgb="FF7F1D1D"/>
      <rgbColor rgb="FF996515"/>
      <rgbColor rgb="FF5B2C87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44"/>
    <col collapsed="false" customWidth="true" hidden="false" outlineLevel="0" max="8" min="8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8" hidden="false" customHeight="tru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n">
        <v>1</v>
      </c>
      <c r="B4" s="5"/>
      <c r="C4" s="6" t="s">
        <v>10</v>
      </c>
      <c r="D4" s="4" t="s">
        <v>11</v>
      </c>
      <c r="E4" s="4" t="s">
        <v>12</v>
      </c>
      <c r="F4" s="4" t="s">
        <v>13</v>
      </c>
      <c r="G4" s="5" t="s">
        <v>14</v>
      </c>
      <c r="H4" s="5" t="s">
        <v>15</v>
      </c>
    </row>
    <row r="5" customFormat="false" ht="15" hidden="false" customHeight="false" outlineLevel="0" collapsed="false">
      <c r="A5" s="4" t="n">
        <v>2</v>
      </c>
      <c r="B5" s="5"/>
      <c r="C5" s="6" t="s">
        <v>16</v>
      </c>
      <c r="D5" s="4" t="s">
        <v>17</v>
      </c>
      <c r="E5" s="4" t="s">
        <v>18</v>
      </c>
      <c r="F5" s="4" t="s">
        <v>13</v>
      </c>
      <c r="G5" s="5" t="s">
        <v>19</v>
      </c>
      <c r="H5" s="5" t="s">
        <v>20</v>
      </c>
    </row>
    <row r="6" customFormat="false" ht="15" hidden="false" customHeight="false" outlineLevel="0" collapsed="false">
      <c r="A6" s="4" t="n">
        <v>3</v>
      </c>
      <c r="B6" s="5"/>
      <c r="C6" s="6" t="s">
        <v>21</v>
      </c>
      <c r="D6" s="4" t="s">
        <v>22</v>
      </c>
      <c r="E6" s="4" t="s">
        <v>18</v>
      </c>
      <c r="F6" s="4" t="s">
        <v>23</v>
      </c>
      <c r="G6" s="5" t="s">
        <v>24</v>
      </c>
      <c r="H6" s="5" t="s">
        <v>25</v>
      </c>
    </row>
    <row r="7" customFormat="false" ht="15" hidden="false" customHeight="false" outlineLevel="0" collapsed="false">
      <c r="A7" s="4" t="n">
        <v>4</v>
      </c>
      <c r="B7" s="5"/>
      <c r="C7" s="6" t="s">
        <v>26</v>
      </c>
      <c r="D7" s="4" t="s">
        <v>27</v>
      </c>
      <c r="E7" s="4" t="s">
        <v>18</v>
      </c>
      <c r="F7" s="4" t="s">
        <v>23</v>
      </c>
      <c r="G7" s="5" t="s">
        <v>28</v>
      </c>
      <c r="H7" s="5" t="s">
        <v>29</v>
      </c>
    </row>
    <row r="8" customFormat="false" ht="18" hidden="false" customHeight="true" outlineLevel="0" collapsed="false">
      <c r="A8" s="7" t="s">
        <v>30</v>
      </c>
      <c r="B8" s="7"/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4" t="n">
        <v>5</v>
      </c>
      <c r="B9" s="5"/>
      <c r="C9" s="6" t="s">
        <v>31</v>
      </c>
      <c r="D9" s="4" t="s">
        <v>22</v>
      </c>
      <c r="E9" s="4" t="s">
        <v>18</v>
      </c>
      <c r="F9" s="4" t="s">
        <v>23</v>
      </c>
      <c r="G9" s="5" t="s">
        <v>32</v>
      </c>
      <c r="H9" s="5" t="s">
        <v>33</v>
      </c>
    </row>
    <row r="10" customFormat="false" ht="15" hidden="false" customHeight="false" outlineLevel="0" collapsed="false">
      <c r="A10" s="4" t="n">
        <v>6</v>
      </c>
      <c r="B10" s="5"/>
      <c r="C10" s="6" t="s">
        <v>34</v>
      </c>
      <c r="D10" s="4" t="s">
        <v>22</v>
      </c>
      <c r="E10" s="4" t="s">
        <v>18</v>
      </c>
      <c r="F10" s="4" t="s">
        <v>23</v>
      </c>
      <c r="G10" s="5" t="s">
        <v>35</v>
      </c>
      <c r="H10" s="5" t="s">
        <v>36</v>
      </c>
    </row>
    <row r="11" customFormat="false" ht="15" hidden="false" customHeight="false" outlineLevel="0" collapsed="false">
      <c r="A11" s="4" t="n">
        <v>7</v>
      </c>
      <c r="B11" s="5"/>
      <c r="C11" s="6" t="s">
        <v>37</v>
      </c>
      <c r="D11" s="4" t="s">
        <v>22</v>
      </c>
      <c r="E11" s="4" t="s">
        <v>18</v>
      </c>
      <c r="F11" s="4" t="s">
        <v>13</v>
      </c>
      <c r="G11" s="5" t="s">
        <v>38</v>
      </c>
      <c r="H11" s="5" t="s">
        <v>39</v>
      </c>
    </row>
    <row r="12" customFormat="false" ht="15" hidden="false" customHeight="false" outlineLevel="0" collapsed="false">
      <c r="A12" s="4" t="n">
        <v>8</v>
      </c>
      <c r="B12" s="5"/>
      <c r="C12" s="6" t="s">
        <v>40</v>
      </c>
      <c r="D12" s="4" t="s">
        <v>22</v>
      </c>
      <c r="E12" s="4" t="s">
        <v>18</v>
      </c>
      <c r="F12" s="4" t="s">
        <v>23</v>
      </c>
      <c r="G12" s="5" t="s">
        <v>41</v>
      </c>
      <c r="H12" s="5" t="s">
        <v>42</v>
      </c>
    </row>
    <row r="13" customFormat="false" ht="15" hidden="false" customHeight="false" outlineLevel="0" collapsed="false">
      <c r="A13" s="4" t="n">
        <v>9</v>
      </c>
      <c r="B13" s="5"/>
      <c r="C13" s="6" t="s">
        <v>43</v>
      </c>
      <c r="D13" s="4" t="s">
        <v>22</v>
      </c>
      <c r="E13" s="4" t="s">
        <v>18</v>
      </c>
      <c r="F13" s="4" t="s">
        <v>23</v>
      </c>
      <c r="G13" s="5" t="s">
        <v>44</v>
      </c>
      <c r="H13" s="5" t="s">
        <v>45</v>
      </c>
    </row>
    <row r="14" customFormat="false" ht="15" hidden="false" customHeight="false" outlineLevel="0" collapsed="false">
      <c r="A14" s="4" t="n">
        <v>10</v>
      </c>
      <c r="B14" s="5"/>
      <c r="C14" s="6" t="s">
        <v>46</v>
      </c>
      <c r="D14" s="4" t="s">
        <v>22</v>
      </c>
      <c r="E14" s="4" t="s">
        <v>18</v>
      </c>
      <c r="F14" s="4" t="s">
        <v>23</v>
      </c>
      <c r="G14" s="5" t="s">
        <v>47</v>
      </c>
      <c r="H14" s="5" t="s">
        <v>48</v>
      </c>
    </row>
    <row r="15" customFormat="false" ht="18" hidden="false" customHeight="true" outlineLevel="0" collapsed="false">
      <c r="A15" s="8" t="s">
        <v>49</v>
      </c>
      <c r="B15" s="8"/>
      <c r="C15" s="8"/>
      <c r="D15" s="8"/>
      <c r="E15" s="8"/>
      <c r="F15" s="8"/>
      <c r="G15" s="8"/>
      <c r="H15" s="8"/>
    </row>
    <row r="16" customFormat="false" ht="23.85" hidden="false" customHeight="false" outlineLevel="0" collapsed="false">
      <c r="A16" s="4" t="n">
        <v>11</v>
      </c>
      <c r="B16" s="5"/>
      <c r="C16" s="6" t="s">
        <v>50</v>
      </c>
      <c r="D16" s="4" t="s">
        <v>17</v>
      </c>
      <c r="E16" s="4" t="s">
        <v>18</v>
      </c>
      <c r="F16" s="4" t="s">
        <v>13</v>
      </c>
      <c r="G16" s="5" t="s">
        <v>51</v>
      </c>
      <c r="H16" s="5" t="s">
        <v>52</v>
      </c>
    </row>
    <row r="17" customFormat="false" ht="15" hidden="false" customHeight="false" outlineLevel="0" collapsed="false">
      <c r="A17" s="4" t="n">
        <v>12</v>
      </c>
      <c r="B17" s="5"/>
      <c r="C17" s="6" t="s">
        <v>53</v>
      </c>
      <c r="D17" s="4" t="s">
        <v>22</v>
      </c>
      <c r="E17" s="4" t="s">
        <v>18</v>
      </c>
      <c r="F17" s="4" t="s">
        <v>23</v>
      </c>
      <c r="G17" s="5" t="s">
        <v>54</v>
      </c>
      <c r="H17" s="5" t="s">
        <v>55</v>
      </c>
    </row>
    <row r="18" customFormat="false" ht="15" hidden="false" customHeight="false" outlineLevel="0" collapsed="false">
      <c r="A18" s="4" t="n">
        <v>13</v>
      </c>
      <c r="B18" s="5"/>
      <c r="C18" s="6" t="s">
        <v>56</v>
      </c>
      <c r="D18" s="4" t="s">
        <v>27</v>
      </c>
      <c r="E18" s="4" t="s">
        <v>18</v>
      </c>
      <c r="F18" s="4" t="s">
        <v>23</v>
      </c>
      <c r="G18" s="5" t="s">
        <v>57</v>
      </c>
      <c r="H18" s="5" t="s">
        <v>58</v>
      </c>
    </row>
    <row r="19" customFormat="false" ht="15" hidden="false" customHeight="false" outlineLevel="0" collapsed="false">
      <c r="A19" s="4" t="n">
        <v>14</v>
      </c>
      <c r="B19" s="5"/>
      <c r="C19" s="6" t="s">
        <v>59</v>
      </c>
      <c r="D19" s="4" t="s">
        <v>27</v>
      </c>
      <c r="E19" s="4" t="s">
        <v>18</v>
      </c>
      <c r="F19" s="4" t="s">
        <v>23</v>
      </c>
      <c r="G19" s="5" t="s">
        <v>60</v>
      </c>
      <c r="H19" s="5" t="s">
        <v>61</v>
      </c>
    </row>
    <row r="20" customFormat="false" ht="15" hidden="false" customHeight="false" outlineLevel="0" collapsed="false">
      <c r="A20" s="4" t="n">
        <v>15</v>
      </c>
      <c r="B20" s="5"/>
      <c r="C20" s="6" t="s">
        <v>62</v>
      </c>
      <c r="D20" s="4" t="s">
        <v>27</v>
      </c>
      <c r="E20" s="4" t="s">
        <v>18</v>
      </c>
      <c r="F20" s="4" t="s">
        <v>23</v>
      </c>
      <c r="G20" s="5" t="s">
        <v>63</v>
      </c>
      <c r="H20" s="5" t="s">
        <v>64</v>
      </c>
    </row>
    <row r="21" customFormat="false" ht="15" hidden="false" customHeight="false" outlineLevel="0" collapsed="false">
      <c r="A21" s="4" t="n">
        <v>16</v>
      </c>
      <c r="B21" s="5"/>
      <c r="C21" s="6" t="s">
        <v>65</v>
      </c>
      <c r="D21" s="4" t="s">
        <v>66</v>
      </c>
      <c r="E21" s="4" t="s">
        <v>18</v>
      </c>
      <c r="F21" s="4" t="s">
        <v>23</v>
      </c>
      <c r="G21" s="5" t="s">
        <v>67</v>
      </c>
      <c r="H21" s="5" t="s">
        <v>68</v>
      </c>
    </row>
    <row r="22" customFormat="false" ht="15" hidden="false" customHeight="false" outlineLevel="0" collapsed="false">
      <c r="A22" s="4" t="n">
        <v>17</v>
      </c>
      <c r="B22" s="5"/>
      <c r="C22" s="6" t="s">
        <v>69</v>
      </c>
      <c r="D22" s="4" t="s">
        <v>27</v>
      </c>
      <c r="E22" s="4" t="s">
        <v>12</v>
      </c>
      <c r="F22" s="4" t="s">
        <v>23</v>
      </c>
      <c r="G22" s="5" t="s">
        <v>70</v>
      </c>
      <c r="H22" s="5" t="s">
        <v>71</v>
      </c>
    </row>
    <row r="23" customFormat="false" ht="15" hidden="false" customHeight="false" outlineLevel="0" collapsed="false">
      <c r="A23" s="4" t="n">
        <v>18</v>
      </c>
      <c r="B23" s="5"/>
      <c r="C23" s="6" t="s">
        <v>72</v>
      </c>
      <c r="D23" s="4" t="s">
        <v>22</v>
      </c>
      <c r="E23" s="4" t="s">
        <v>18</v>
      </c>
      <c r="F23" s="4" t="s">
        <v>23</v>
      </c>
      <c r="G23" s="5" t="s">
        <v>73</v>
      </c>
      <c r="H23" s="5" t="s">
        <v>74</v>
      </c>
    </row>
    <row r="24" customFormat="false" ht="15" hidden="false" customHeight="false" outlineLevel="0" collapsed="false">
      <c r="A24" s="4" t="n">
        <v>19</v>
      </c>
      <c r="B24" s="5"/>
      <c r="C24" s="6" t="s">
        <v>75</v>
      </c>
      <c r="D24" s="4" t="s">
        <v>76</v>
      </c>
      <c r="E24" s="4" t="s">
        <v>12</v>
      </c>
      <c r="F24" s="4" t="s">
        <v>23</v>
      </c>
      <c r="G24" s="5" t="s">
        <v>77</v>
      </c>
      <c r="H24" s="5" t="s">
        <v>78</v>
      </c>
    </row>
    <row r="25" customFormat="false" ht="18" hidden="false" customHeight="true" outlineLevel="0" collapsed="false">
      <c r="A25" s="9" t="s">
        <v>79</v>
      </c>
      <c r="B25" s="9"/>
      <c r="C25" s="9"/>
      <c r="D25" s="9"/>
      <c r="E25" s="9"/>
      <c r="F25" s="9"/>
      <c r="G25" s="9"/>
      <c r="H25" s="9"/>
    </row>
    <row r="26" customFormat="false" ht="23.85" hidden="false" customHeight="false" outlineLevel="0" collapsed="false">
      <c r="A26" s="10" t="n">
        <v>20</v>
      </c>
      <c r="B26" s="11"/>
      <c r="C26" s="12" t="s">
        <v>80</v>
      </c>
      <c r="D26" s="10" t="s">
        <v>22</v>
      </c>
      <c r="E26" s="10" t="s">
        <v>12</v>
      </c>
      <c r="F26" s="10" t="s">
        <v>23</v>
      </c>
      <c r="G26" s="11" t="s">
        <v>81</v>
      </c>
      <c r="H26" s="11" t="s">
        <v>82</v>
      </c>
    </row>
    <row r="27" customFormat="false" ht="15" hidden="false" customHeight="false" outlineLevel="0" collapsed="false">
      <c r="A27" s="10" t="n">
        <v>21</v>
      </c>
      <c r="B27" s="11"/>
      <c r="C27" s="12" t="s">
        <v>83</v>
      </c>
      <c r="D27" s="10" t="s">
        <v>84</v>
      </c>
      <c r="E27" s="10" t="s">
        <v>12</v>
      </c>
      <c r="F27" s="10" t="s">
        <v>23</v>
      </c>
      <c r="G27" s="11" t="s">
        <v>85</v>
      </c>
      <c r="H27" s="11" t="s">
        <v>86</v>
      </c>
    </row>
    <row r="28" customFormat="false" ht="18" hidden="false" customHeight="true" outlineLevel="0" collapsed="false">
      <c r="A28" s="13" t="s">
        <v>87</v>
      </c>
      <c r="B28" s="13"/>
      <c r="C28" s="1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4" t="n">
        <v>22</v>
      </c>
      <c r="B29" s="5"/>
      <c r="C29" s="6" t="s">
        <v>88</v>
      </c>
      <c r="D29" s="4" t="s">
        <v>22</v>
      </c>
      <c r="E29" s="4" t="s">
        <v>18</v>
      </c>
      <c r="F29" s="4" t="s">
        <v>23</v>
      </c>
      <c r="G29" s="5" t="s">
        <v>89</v>
      </c>
      <c r="H29" s="5" t="s">
        <v>90</v>
      </c>
    </row>
    <row r="30" customFormat="false" ht="15" hidden="false" customHeight="false" outlineLevel="0" collapsed="false">
      <c r="A30" s="4" t="n">
        <v>23</v>
      </c>
      <c r="B30" s="5"/>
      <c r="C30" s="6" t="s">
        <v>91</v>
      </c>
      <c r="D30" s="4" t="s">
        <v>22</v>
      </c>
      <c r="E30" s="4" t="s">
        <v>18</v>
      </c>
      <c r="F30" s="4" t="s">
        <v>23</v>
      </c>
      <c r="G30" s="5" t="s">
        <v>92</v>
      </c>
      <c r="H30" s="5" t="s">
        <v>93</v>
      </c>
    </row>
    <row r="31" customFormat="false" ht="15" hidden="false" customHeight="false" outlineLevel="0" collapsed="false">
      <c r="A31" s="4" t="n">
        <v>24</v>
      </c>
      <c r="B31" s="5"/>
      <c r="C31" s="6" t="s">
        <v>94</v>
      </c>
      <c r="D31" s="4" t="s">
        <v>22</v>
      </c>
      <c r="E31" s="4" t="s">
        <v>18</v>
      </c>
      <c r="F31" s="4" t="s">
        <v>23</v>
      </c>
      <c r="G31" s="5" t="s">
        <v>95</v>
      </c>
      <c r="H31" s="5" t="s">
        <v>96</v>
      </c>
    </row>
    <row r="32" customFormat="false" ht="18" hidden="false" customHeight="true" outlineLevel="0" collapsed="false">
      <c r="A32" s="14" t="s">
        <v>97</v>
      </c>
      <c r="B32" s="14"/>
      <c r="C32" s="14"/>
      <c r="D32" s="14"/>
      <c r="E32" s="14"/>
      <c r="F32" s="14"/>
      <c r="G32" s="14"/>
      <c r="H32" s="14"/>
    </row>
    <row r="33" customFormat="false" ht="15" hidden="false" customHeight="false" outlineLevel="0" collapsed="false">
      <c r="A33" s="4" t="n">
        <v>25</v>
      </c>
      <c r="B33" s="5"/>
      <c r="C33" s="6" t="s">
        <v>98</v>
      </c>
      <c r="D33" s="4" t="s">
        <v>99</v>
      </c>
      <c r="E33" s="4" t="s">
        <v>12</v>
      </c>
      <c r="F33" s="4" t="s">
        <v>13</v>
      </c>
      <c r="G33" s="5" t="s">
        <v>100</v>
      </c>
      <c r="H33" s="5" t="s">
        <v>101</v>
      </c>
    </row>
    <row r="34" customFormat="false" ht="15" hidden="false" customHeight="false" outlineLevel="0" collapsed="false">
      <c r="A34" s="4" t="n">
        <v>26</v>
      </c>
      <c r="B34" s="5"/>
      <c r="C34" s="6" t="s">
        <v>102</v>
      </c>
      <c r="D34" s="4" t="s">
        <v>17</v>
      </c>
      <c r="E34" s="4" t="s">
        <v>12</v>
      </c>
      <c r="F34" s="4" t="s">
        <v>13</v>
      </c>
      <c r="G34" s="5" t="s">
        <v>103</v>
      </c>
      <c r="H34" s="5" t="s">
        <v>104</v>
      </c>
    </row>
    <row r="35" customFormat="false" ht="15" hidden="false" customHeight="false" outlineLevel="0" collapsed="false">
      <c r="A35" s="4" t="n">
        <v>27</v>
      </c>
      <c r="B35" s="5"/>
      <c r="C35" s="6" t="s">
        <v>105</v>
      </c>
      <c r="D35" s="4" t="s">
        <v>22</v>
      </c>
      <c r="E35" s="4" t="s">
        <v>12</v>
      </c>
      <c r="F35" s="4" t="s">
        <v>13</v>
      </c>
      <c r="G35" s="5" t="s">
        <v>106</v>
      </c>
      <c r="H35" s="5" t="s">
        <v>107</v>
      </c>
    </row>
    <row r="36" customFormat="false" ht="15" hidden="false" customHeight="false" outlineLevel="0" collapsed="false">
      <c r="A36" s="4" t="n">
        <v>28</v>
      </c>
      <c r="B36" s="5"/>
      <c r="C36" s="6" t="s">
        <v>108</v>
      </c>
      <c r="D36" s="4" t="s">
        <v>22</v>
      </c>
      <c r="E36" s="4" t="s">
        <v>12</v>
      </c>
      <c r="F36" s="4" t="s">
        <v>23</v>
      </c>
      <c r="G36" s="5" t="s">
        <v>109</v>
      </c>
      <c r="H36" s="5" t="s">
        <v>110</v>
      </c>
    </row>
    <row r="37" customFormat="false" ht="15" hidden="false" customHeight="false" outlineLevel="0" collapsed="false">
      <c r="A37" s="4" t="n">
        <v>29</v>
      </c>
      <c r="B37" s="5"/>
      <c r="C37" s="6" t="s">
        <v>111</v>
      </c>
      <c r="D37" s="4" t="s">
        <v>22</v>
      </c>
      <c r="E37" s="4" t="s">
        <v>12</v>
      </c>
      <c r="F37" s="4" t="s">
        <v>23</v>
      </c>
      <c r="G37" s="5" t="s">
        <v>112</v>
      </c>
      <c r="H37" s="5" t="s">
        <v>113</v>
      </c>
    </row>
    <row r="38" customFormat="false" ht="15" hidden="false" customHeight="false" outlineLevel="0" collapsed="false">
      <c r="A38" s="4" t="n">
        <v>30</v>
      </c>
      <c r="B38" s="5"/>
      <c r="C38" s="6" t="s">
        <v>114</v>
      </c>
      <c r="D38" s="4" t="s">
        <v>22</v>
      </c>
      <c r="E38" s="4" t="s">
        <v>12</v>
      </c>
      <c r="F38" s="4" t="s">
        <v>23</v>
      </c>
      <c r="G38" s="5" t="s">
        <v>115</v>
      </c>
      <c r="H38" s="5" t="s">
        <v>116</v>
      </c>
    </row>
    <row r="39" customFormat="false" ht="15" hidden="false" customHeight="false" outlineLevel="0" collapsed="false">
      <c r="A39" s="4" t="n">
        <v>31</v>
      </c>
      <c r="B39" s="5"/>
      <c r="C39" s="6" t="s">
        <v>117</v>
      </c>
      <c r="D39" s="4" t="s">
        <v>22</v>
      </c>
      <c r="E39" s="4" t="s">
        <v>12</v>
      </c>
      <c r="F39" s="4" t="s">
        <v>23</v>
      </c>
      <c r="G39" s="5" t="s">
        <v>118</v>
      </c>
      <c r="H39" s="5" t="s">
        <v>119</v>
      </c>
    </row>
    <row r="40" customFormat="false" ht="15" hidden="false" customHeight="false" outlineLevel="0" collapsed="false">
      <c r="A40" s="4" t="n">
        <v>32</v>
      </c>
      <c r="B40" s="5"/>
      <c r="C40" s="6" t="s">
        <v>120</v>
      </c>
      <c r="D40" s="4" t="s">
        <v>22</v>
      </c>
      <c r="E40" s="4" t="s">
        <v>12</v>
      </c>
      <c r="F40" s="4" t="s">
        <v>23</v>
      </c>
      <c r="G40" s="5" t="s">
        <v>121</v>
      </c>
      <c r="H40" s="5" t="s">
        <v>122</v>
      </c>
    </row>
    <row r="41" customFormat="false" ht="18" hidden="false" customHeight="true" outlineLevel="0" collapsed="false">
      <c r="A41" s="15" t="s">
        <v>123</v>
      </c>
      <c r="B41" s="15"/>
      <c r="C41" s="15"/>
      <c r="D41" s="15"/>
      <c r="E41" s="15"/>
      <c r="F41" s="15"/>
      <c r="G41" s="15"/>
      <c r="H41" s="15"/>
    </row>
    <row r="42" customFormat="false" ht="15" hidden="false" customHeight="false" outlineLevel="0" collapsed="false">
      <c r="A42" s="4" t="n">
        <v>33</v>
      </c>
      <c r="B42" s="5"/>
      <c r="C42" s="6" t="s">
        <v>124</v>
      </c>
      <c r="D42" s="4" t="s">
        <v>99</v>
      </c>
      <c r="E42" s="4" t="s">
        <v>12</v>
      </c>
      <c r="F42" s="4" t="s">
        <v>23</v>
      </c>
      <c r="G42" s="5" t="s">
        <v>125</v>
      </c>
      <c r="H42" s="5" t="s">
        <v>126</v>
      </c>
    </row>
    <row r="43" customFormat="false" ht="15" hidden="false" customHeight="false" outlineLevel="0" collapsed="false">
      <c r="A43" s="4" t="n">
        <v>34</v>
      </c>
      <c r="B43" s="5"/>
      <c r="C43" s="6" t="s">
        <v>127</v>
      </c>
      <c r="D43" s="4" t="s">
        <v>22</v>
      </c>
      <c r="E43" s="4" t="s">
        <v>12</v>
      </c>
      <c r="F43" s="4" t="s">
        <v>23</v>
      </c>
      <c r="G43" s="5" t="s">
        <v>128</v>
      </c>
      <c r="H43" s="5" t="s">
        <v>129</v>
      </c>
    </row>
    <row r="44" customFormat="false" ht="15" hidden="false" customHeight="false" outlineLevel="0" collapsed="false">
      <c r="A44" s="4" t="n">
        <v>35</v>
      </c>
      <c r="B44" s="5"/>
      <c r="C44" s="6" t="s">
        <v>130</v>
      </c>
      <c r="D44" s="4" t="s">
        <v>22</v>
      </c>
      <c r="E44" s="4" t="s">
        <v>12</v>
      </c>
      <c r="F44" s="4" t="s">
        <v>23</v>
      </c>
      <c r="G44" s="5" t="s">
        <v>131</v>
      </c>
      <c r="H44" s="5" t="s">
        <v>132</v>
      </c>
    </row>
    <row r="45" customFormat="false" ht="15" hidden="false" customHeight="false" outlineLevel="0" collapsed="false">
      <c r="A45" s="4" t="n">
        <v>36</v>
      </c>
      <c r="B45" s="5"/>
      <c r="C45" s="6" t="s">
        <v>133</v>
      </c>
      <c r="D45" s="4" t="s">
        <v>99</v>
      </c>
      <c r="E45" s="4" t="s">
        <v>12</v>
      </c>
      <c r="F45" s="4" t="s">
        <v>23</v>
      </c>
      <c r="G45" s="5" t="s">
        <v>134</v>
      </c>
      <c r="H45" s="5" t="s">
        <v>135</v>
      </c>
    </row>
    <row r="46" customFormat="false" ht="15" hidden="false" customHeight="false" outlineLevel="0" collapsed="false">
      <c r="A46" s="4" t="n">
        <v>37</v>
      </c>
      <c r="B46" s="5"/>
      <c r="C46" s="6" t="s">
        <v>136</v>
      </c>
      <c r="D46" s="4" t="s">
        <v>22</v>
      </c>
      <c r="E46" s="4" t="s">
        <v>12</v>
      </c>
      <c r="F46" s="4" t="s">
        <v>23</v>
      </c>
      <c r="G46" s="5" t="s">
        <v>137</v>
      </c>
      <c r="H46" s="5" t="s">
        <v>138</v>
      </c>
    </row>
    <row r="47" customFormat="false" ht="15" hidden="false" customHeight="false" outlineLevel="0" collapsed="false">
      <c r="A47" s="4" t="n">
        <v>38</v>
      </c>
      <c r="B47" s="5"/>
      <c r="C47" s="6" t="s">
        <v>139</v>
      </c>
      <c r="D47" s="4" t="s">
        <v>99</v>
      </c>
      <c r="E47" s="4" t="s">
        <v>12</v>
      </c>
      <c r="F47" s="4" t="s">
        <v>23</v>
      </c>
      <c r="G47" s="5" t="s">
        <v>140</v>
      </c>
      <c r="H47" s="5" t="s">
        <v>141</v>
      </c>
    </row>
    <row r="48" customFormat="false" ht="18" hidden="false" customHeight="true" outlineLevel="0" collapsed="false">
      <c r="A48" s="16" t="s">
        <v>142</v>
      </c>
      <c r="B48" s="16"/>
      <c r="C48" s="16"/>
      <c r="D48" s="16"/>
      <c r="E48" s="16"/>
      <c r="F48" s="16"/>
      <c r="G48" s="16"/>
      <c r="H48" s="16"/>
    </row>
    <row r="49" customFormat="false" ht="23.85" hidden="false" customHeight="false" outlineLevel="0" collapsed="false">
      <c r="A49" s="4" t="n">
        <v>39</v>
      </c>
      <c r="B49" s="5"/>
      <c r="C49" s="6" t="s">
        <v>143</v>
      </c>
      <c r="D49" s="4" t="s">
        <v>17</v>
      </c>
      <c r="E49" s="4" t="s">
        <v>12</v>
      </c>
      <c r="F49" s="4" t="s">
        <v>13</v>
      </c>
      <c r="G49" s="5" t="s">
        <v>144</v>
      </c>
      <c r="H49" s="5" t="s">
        <v>145</v>
      </c>
    </row>
    <row r="50" customFormat="false" ht="15" hidden="false" customHeight="false" outlineLevel="0" collapsed="false">
      <c r="A50" s="4" t="n">
        <v>40</v>
      </c>
      <c r="B50" s="5"/>
      <c r="C50" s="6" t="s">
        <v>146</v>
      </c>
      <c r="D50" s="4" t="s">
        <v>147</v>
      </c>
      <c r="E50" s="4" t="s">
        <v>12</v>
      </c>
      <c r="F50" s="4" t="s">
        <v>23</v>
      </c>
      <c r="G50" s="5" t="s">
        <v>148</v>
      </c>
      <c r="H50" s="5" t="s">
        <v>149</v>
      </c>
    </row>
    <row r="51" customFormat="false" ht="15" hidden="false" customHeight="false" outlineLevel="0" collapsed="false">
      <c r="A51" s="4" t="n">
        <v>41</v>
      </c>
      <c r="B51" s="5"/>
      <c r="C51" s="6" t="s">
        <v>150</v>
      </c>
      <c r="D51" s="4" t="s">
        <v>17</v>
      </c>
      <c r="E51" s="4" t="s">
        <v>12</v>
      </c>
      <c r="F51" s="4" t="s">
        <v>23</v>
      </c>
      <c r="G51" s="5" t="s">
        <v>151</v>
      </c>
      <c r="H51" s="5" t="s">
        <v>152</v>
      </c>
    </row>
    <row r="52" customFormat="false" ht="23.85" hidden="false" customHeight="false" outlineLevel="0" collapsed="false">
      <c r="A52" s="10" t="n">
        <v>42</v>
      </c>
      <c r="B52" s="11"/>
      <c r="C52" s="12" t="s">
        <v>153</v>
      </c>
      <c r="D52" s="10" t="s">
        <v>154</v>
      </c>
      <c r="E52" s="10" t="s">
        <v>12</v>
      </c>
      <c r="F52" s="10" t="s">
        <v>23</v>
      </c>
      <c r="G52" s="11" t="s">
        <v>155</v>
      </c>
      <c r="H52" s="11" t="s">
        <v>156</v>
      </c>
    </row>
    <row r="53" customFormat="false" ht="15" hidden="false" customHeight="false" outlineLevel="0" collapsed="false">
      <c r="A53" s="10" t="n">
        <v>43</v>
      </c>
      <c r="B53" s="11"/>
      <c r="C53" s="12" t="s">
        <v>157</v>
      </c>
      <c r="D53" s="10" t="s">
        <v>22</v>
      </c>
      <c r="E53" s="10" t="s">
        <v>12</v>
      </c>
      <c r="F53" s="10" t="s">
        <v>23</v>
      </c>
      <c r="G53" s="11" t="s">
        <v>158</v>
      </c>
      <c r="H53" s="11" t="s">
        <v>159</v>
      </c>
    </row>
    <row r="54" customFormat="false" ht="15" hidden="false" customHeight="false" outlineLevel="0" collapsed="false">
      <c r="A54" s="4" t="n">
        <v>44</v>
      </c>
      <c r="B54" s="5"/>
      <c r="C54" s="6" t="s">
        <v>160</v>
      </c>
      <c r="D54" s="4" t="s">
        <v>99</v>
      </c>
      <c r="E54" s="4" t="s">
        <v>12</v>
      </c>
      <c r="F54" s="4" t="s">
        <v>23</v>
      </c>
      <c r="G54" s="5" t="s">
        <v>161</v>
      </c>
      <c r="H54" s="5" t="s">
        <v>162</v>
      </c>
    </row>
    <row r="55" customFormat="false" ht="15" hidden="false" customHeight="false" outlineLevel="0" collapsed="false">
      <c r="A55" s="4" t="n">
        <v>45</v>
      </c>
      <c r="B55" s="5"/>
      <c r="C55" s="6" t="s">
        <v>163</v>
      </c>
      <c r="D55" s="4" t="s">
        <v>99</v>
      </c>
      <c r="E55" s="4" t="s">
        <v>12</v>
      </c>
      <c r="F55" s="4" t="s">
        <v>23</v>
      </c>
      <c r="G55" s="5" t="s">
        <v>164</v>
      </c>
      <c r="H55" s="5" t="s">
        <v>165</v>
      </c>
    </row>
    <row r="56" customFormat="false" ht="15" hidden="false" customHeight="false" outlineLevel="0" collapsed="false">
      <c r="A56" s="4" t="n">
        <v>46</v>
      </c>
      <c r="B56" s="5"/>
      <c r="C56" s="6" t="s">
        <v>166</v>
      </c>
      <c r="D56" s="4" t="s">
        <v>147</v>
      </c>
      <c r="E56" s="4" t="s">
        <v>12</v>
      </c>
      <c r="F56" s="4" t="s">
        <v>23</v>
      </c>
      <c r="G56" s="5" t="s">
        <v>167</v>
      </c>
      <c r="H56" s="5" t="s">
        <v>168</v>
      </c>
    </row>
    <row r="57" customFormat="false" ht="15" hidden="false" customHeight="false" outlineLevel="0" collapsed="false">
      <c r="A57" s="4" t="n">
        <v>47</v>
      </c>
      <c r="B57" s="5"/>
      <c r="C57" s="6" t="s">
        <v>169</v>
      </c>
      <c r="D57" s="4" t="s">
        <v>147</v>
      </c>
      <c r="E57" s="4" t="s">
        <v>12</v>
      </c>
      <c r="F57" s="4" t="s">
        <v>23</v>
      </c>
      <c r="G57" s="5" t="s">
        <v>170</v>
      </c>
      <c r="H57" s="5" t="s">
        <v>171</v>
      </c>
    </row>
    <row r="58" customFormat="false" ht="15" hidden="false" customHeight="false" outlineLevel="0" collapsed="false">
      <c r="A58" s="10" t="n">
        <v>48</v>
      </c>
      <c r="B58" s="11"/>
      <c r="C58" s="12" t="s">
        <v>172</v>
      </c>
      <c r="D58" s="10" t="s">
        <v>154</v>
      </c>
      <c r="E58" s="10" t="s">
        <v>18</v>
      </c>
      <c r="F58" s="10" t="s">
        <v>23</v>
      </c>
      <c r="G58" s="11" t="s">
        <v>173</v>
      </c>
      <c r="H58" s="11" t="s">
        <v>174</v>
      </c>
    </row>
    <row r="59" customFormat="false" ht="15" hidden="false" customHeight="false" outlineLevel="0" collapsed="false">
      <c r="A59" s="10" t="n">
        <v>49</v>
      </c>
      <c r="B59" s="11"/>
      <c r="C59" s="12" t="s">
        <v>175</v>
      </c>
      <c r="D59" s="10" t="s">
        <v>147</v>
      </c>
      <c r="E59" s="10" t="s">
        <v>12</v>
      </c>
      <c r="F59" s="10" t="s">
        <v>23</v>
      </c>
      <c r="G59" s="11" t="s">
        <v>176</v>
      </c>
      <c r="H59" s="11" t="s">
        <v>177</v>
      </c>
    </row>
    <row r="60" customFormat="false" ht="15" hidden="false" customHeight="false" outlineLevel="0" collapsed="false">
      <c r="A60" s="10" t="n">
        <v>50</v>
      </c>
      <c r="B60" s="11"/>
      <c r="C60" s="12" t="s">
        <v>178</v>
      </c>
      <c r="D60" s="10" t="s">
        <v>147</v>
      </c>
      <c r="E60" s="10" t="s">
        <v>12</v>
      </c>
      <c r="F60" s="10" t="s">
        <v>23</v>
      </c>
      <c r="G60" s="11" t="s">
        <v>179</v>
      </c>
      <c r="H60" s="11" t="s">
        <v>180</v>
      </c>
    </row>
    <row r="61" customFormat="false" ht="23.85" hidden="false" customHeight="false" outlineLevel="0" collapsed="false">
      <c r="A61" s="4" t="n">
        <v>51</v>
      </c>
      <c r="B61" s="5"/>
      <c r="C61" s="6" t="s">
        <v>181</v>
      </c>
      <c r="D61" s="4" t="s">
        <v>99</v>
      </c>
      <c r="E61" s="4" t="s">
        <v>12</v>
      </c>
      <c r="F61" s="4" t="s">
        <v>23</v>
      </c>
      <c r="G61" s="5" t="s">
        <v>182</v>
      </c>
      <c r="H61" s="5" t="s">
        <v>183</v>
      </c>
    </row>
    <row r="62" customFormat="false" ht="15" hidden="false" customHeight="false" outlineLevel="0" collapsed="false">
      <c r="A62" s="4" t="n">
        <v>52</v>
      </c>
      <c r="B62" s="5"/>
      <c r="C62" s="6" t="s">
        <v>184</v>
      </c>
      <c r="D62" s="4" t="s">
        <v>147</v>
      </c>
      <c r="E62" s="4" t="s">
        <v>12</v>
      </c>
      <c r="F62" s="4" t="s">
        <v>23</v>
      </c>
      <c r="G62" s="5" t="s">
        <v>185</v>
      </c>
      <c r="H62" s="5" t="s">
        <v>186</v>
      </c>
    </row>
    <row r="63" customFormat="false" ht="15" hidden="false" customHeight="false" outlineLevel="0" collapsed="false">
      <c r="A63" s="4" t="n">
        <v>53</v>
      </c>
      <c r="B63" s="5"/>
      <c r="C63" s="6" t="s">
        <v>187</v>
      </c>
      <c r="D63" s="4" t="s">
        <v>147</v>
      </c>
      <c r="E63" s="4" t="s">
        <v>12</v>
      </c>
      <c r="F63" s="4" t="s">
        <v>23</v>
      </c>
      <c r="G63" s="5" t="s">
        <v>188</v>
      </c>
      <c r="H63" s="5" t="s">
        <v>189</v>
      </c>
    </row>
    <row r="64" customFormat="false" ht="15" hidden="false" customHeight="false" outlineLevel="0" collapsed="false">
      <c r="A64" s="4" t="n">
        <v>54</v>
      </c>
      <c r="B64" s="5"/>
      <c r="C64" s="6" t="s">
        <v>190</v>
      </c>
      <c r="D64" s="4" t="s">
        <v>22</v>
      </c>
      <c r="E64" s="4" t="s">
        <v>18</v>
      </c>
      <c r="F64" s="4" t="s">
        <v>23</v>
      </c>
      <c r="G64" s="5" t="s">
        <v>191</v>
      </c>
      <c r="H64" s="5" t="s">
        <v>192</v>
      </c>
    </row>
    <row r="65" customFormat="false" ht="18" hidden="false" customHeight="true" outlineLevel="0" collapsed="false">
      <c r="A65" s="17" t="s">
        <v>193</v>
      </c>
      <c r="B65" s="17"/>
      <c r="C65" s="17"/>
      <c r="D65" s="17"/>
      <c r="E65" s="17"/>
      <c r="F65" s="17"/>
      <c r="G65" s="17"/>
      <c r="H65" s="17"/>
    </row>
    <row r="66" customFormat="false" ht="15" hidden="false" customHeight="false" outlineLevel="0" collapsed="false">
      <c r="A66" s="4" t="n">
        <v>55</v>
      </c>
      <c r="B66" s="5"/>
      <c r="C66" s="6" t="s">
        <v>194</v>
      </c>
      <c r="D66" s="4" t="s">
        <v>22</v>
      </c>
      <c r="E66" s="4" t="s">
        <v>18</v>
      </c>
      <c r="F66" s="4" t="s">
        <v>23</v>
      </c>
      <c r="G66" s="5" t="s">
        <v>195</v>
      </c>
      <c r="H66" s="5" t="s">
        <v>196</v>
      </c>
    </row>
    <row r="67" customFormat="false" ht="15" hidden="false" customHeight="false" outlineLevel="0" collapsed="false">
      <c r="A67" s="4" t="n">
        <v>56</v>
      </c>
      <c r="B67" s="5"/>
      <c r="C67" s="6" t="s">
        <v>197</v>
      </c>
      <c r="D67" s="4" t="s">
        <v>22</v>
      </c>
      <c r="E67" s="4" t="s">
        <v>12</v>
      </c>
      <c r="F67" s="4" t="s">
        <v>23</v>
      </c>
      <c r="G67" s="5" t="s">
        <v>198</v>
      </c>
      <c r="H67" s="5" t="s">
        <v>199</v>
      </c>
    </row>
    <row r="68" customFormat="false" ht="15" hidden="false" customHeight="false" outlineLevel="0" collapsed="false">
      <c r="A68" s="4" t="n">
        <v>57</v>
      </c>
      <c r="B68" s="5"/>
      <c r="C68" s="6" t="s">
        <v>200</v>
      </c>
      <c r="D68" s="4" t="s">
        <v>22</v>
      </c>
      <c r="E68" s="4" t="s">
        <v>12</v>
      </c>
      <c r="F68" s="4" t="s">
        <v>23</v>
      </c>
      <c r="G68" s="5" t="s">
        <v>201</v>
      </c>
      <c r="H68" s="5" t="s">
        <v>202</v>
      </c>
    </row>
    <row r="70" customFormat="false" ht="15" hidden="false" customHeight="false" outlineLevel="0" collapsed="false">
      <c r="C70" s="18" t="s">
        <v>203</v>
      </c>
    </row>
  </sheetData>
  <autoFilter ref="A2:H68"/>
  <mergeCells count="10">
    <mergeCell ref="A1:H1"/>
    <mergeCell ref="A3:H3"/>
    <mergeCell ref="A8:H8"/>
    <mergeCell ref="A15:H15"/>
    <mergeCell ref="A25:H25"/>
    <mergeCell ref="A28:H28"/>
    <mergeCell ref="A32:H32"/>
    <mergeCell ref="A41:H41"/>
    <mergeCell ref="A48:H48"/>
    <mergeCell ref="A65:H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0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48"/>
  </cols>
  <sheetData>
    <row r="1" customFormat="false" ht="25.5" hidden="false" customHeight="true" outlineLevel="0" collapsed="false">
      <c r="A1" s="1" t="s">
        <v>204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19" t="s">
        <v>205</v>
      </c>
      <c r="B2" s="19"/>
      <c r="C2" s="19"/>
      <c r="D2" s="19"/>
      <c r="E2" s="19"/>
      <c r="F2" s="19"/>
      <c r="G2" s="19"/>
    </row>
    <row r="3" customFormat="false" ht="21.75" hidden="false" customHeight="true" outlineLevel="0" collapsed="false">
      <c r="A3" s="2" t="s">
        <v>3</v>
      </c>
      <c r="B3" s="2" t="s">
        <v>206</v>
      </c>
      <c r="C3" s="2" t="s">
        <v>207</v>
      </c>
      <c r="D3" s="2" t="s">
        <v>20</v>
      </c>
      <c r="E3" s="2" t="s">
        <v>208</v>
      </c>
      <c r="F3" s="2" t="s">
        <v>209</v>
      </c>
      <c r="G3" s="2" t="s">
        <v>210</v>
      </c>
    </row>
    <row r="4" customFormat="false" ht="15" hidden="false" customHeight="false" outlineLevel="0" collapsed="false">
      <c r="A4" s="20" t="s">
        <v>10</v>
      </c>
      <c r="B4" s="21"/>
      <c r="C4" s="21"/>
      <c r="D4" s="21"/>
      <c r="E4" s="21"/>
      <c r="F4" s="4" t="n">
        <f aca="false">COUNTA(B4:E4)</f>
        <v>0</v>
      </c>
      <c r="G4" s="22" t="s">
        <v>211</v>
      </c>
    </row>
    <row r="5" customFormat="false" ht="15" hidden="false" customHeight="false" outlineLevel="0" collapsed="false">
      <c r="A5" s="20" t="s">
        <v>16</v>
      </c>
      <c r="B5" s="5" t="s">
        <v>206</v>
      </c>
      <c r="C5" s="5" t="s">
        <v>207</v>
      </c>
      <c r="D5" s="5" t="s">
        <v>20</v>
      </c>
      <c r="E5" s="5" t="s">
        <v>208</v>
      </c>
      <c r="F5" s="4" t="n">
        <f aca="false">COUNTA(B5:E5)</f>
        <v>4</v>
      </c>
      <c r="G5" s="22" t="s">
        <v>212</v>
      </c>
    </row>
    <row r="6" customFormat="false" ht="15" hidden="false" customHeight="false" outlineLevel="0" collapsed="false">
      <c r="A6" s="20" t="s">
        <v>21</v>
      </c>
      <c r="B6" s="21"/>
      <c r="C6" s="21"/>
      <c r="D6" s="21"/>
      <c r="E6" s="21"/>
      <c r="F6" s="4" t="n">
        <f aca="false">COUNTA(B6:E6)</f>
        <v>0</v>
      </c>
      <c r="G6" s="22" t="s">
        <v>213</v>
      </c>
    </row>
    <row r="7" customFormat="false" ht="15" hidden="false" customHeight="false" outlineLevel="0" collapsed="false">
      <c r="A7" s="20" t="s">
        <v>26</v>
      </c>
      <c r="B7" s="21"/>
      <c r="C7" s="21"/>
      <c r="D7" s="21"/>
      <c r="E7" s="21"/>
      <c r="F7" s="4" t="n">
        <f aca="false">COUNTA(B7:E7)</f>
        <v>0</v>
      </c>
      <c r="G7" s="22" t="s">
        <v>214</v>
      </c>
    </row>
    <row r="8" customFormat="false" ht="15" hidden="false" customHeight="false" outlineLevel="0" collapsed="false">
      <c r="A8" s="20" t="s">
        <v>31</v>
      </c>
      <c r="B8" s="21"/>
      <c r="C8" s="5" t="s">
        <v>215</v>
      </c>
      <c r="D8" s="5" t="s">
        <v>216</v>
      </c>
      <c r="E8" s="21"/>
      <c r="F8" s="4" t="n">
        <f aca="false">COUNTA(B8:E8)</f>
        <v>2</v>
      </c>
      <c r="G8" s="22" t="s">
        <v>217</v>
      </c>
    </row>
    <row r="9" customFormat="false" ht="15" hidden="false" customHeight="false" outlineLevel="0" collapsed="false">
      <c r="A9" s="20" t="s">
        <v>34</v>
      </c>
      <c r="B9" s="21"/>
      <c r="C9" s="5" t="s">
        <v>218</v>
      </c>
      <c r="D9" s="21"/>
      <c r="E9" s="5" t="s">
        <v>219</v>
      </c>
      <c r="F9" s="4" t="n">
        <f aca="false">COUNTA(B9:E9)</f>
        <v>2</v>
      </c>
      <c r="G9" s="22"/>
    </row>
    <row r="10" customFormat="false" ht="15" hidden="false" customHeight="false" outlineLevel="0" collapsed="false">
      <c r="A10" s="20" t="s">
        <v>37</v>
      </c>
      <c r="B10" s="21"/>
      <c r="C10" s="21"/>
      <c r="D10" s="21"/>
      <c r="E10" s="21"/>
      <c r="F10" s="4" t="n">
        <f aca="false">COUNTA(B10:E10)</f>
        <v>0</v>
      </c>
      <c r="G10" s="22" t="s">
        <v>220</v>
      </c>
    </row>
    <row r="11" customFormat="false" ht="15" hidden="false" customHeight="false" outlineLevel="0" collapsed="false">
      <c r="A11" s="20" t="s">
        <v>40</v>
      </c>
      <c r="B11" s="21"/>
      <c r="C11" s="5" t="s">
        <v>221</v>
      </c>
      <c r="D11" s="21"/>
      <c r="E11" s="21"/>
      <c r="F11" s="4" t="n">
        <f aca="false">COUNTA(B11:E11)</f>
        <v>1</v>
      </c>
      <c r="G11" s="22"/>
    </row>
    <row r="12" customFormat="false" ht="15" hidden="false" customHeight="false" outlineLevel="0" collapsed="false">
      <c r="A12" s="20" t="s">
        <v>43</v>
      </c>
      <c r="B12" s="21"/>
      <c r="C12" s="21"/>
      <c r="D12" s="21"/>
      <c r="E12" s="5" t="s">
        <v>222</v>
      </c>
      <c r="F12" s="4" t="n">
        <f aca="false">COUNTA(B12:E12)</f>
        <v>1</v>
      </c>
      <c r="G12" s="22"/>
    </row>
    <row r="13" customFormat="false" ht="15" hidden="false" customHeight="false" outlineLevel="0" collapsed="false">
      <c r="A13" s="20" t="s">
        <v>46</v>
      </c>
      <c r="B13" s="21"/>
      <c r="C13" s="21"/>
      <c r="D13" s="21"/>
      <c r="E13" s="5" t="s">
        <v>223</v>
      </c>
      <c r="F13" s="4" t="n">
        <f aca="false">COUNTA(B13:E13)</f>
        <v>1</v>
      </c>
      <c r="G13" s="22"/>
    </row>
    <row r="14" customFormat="false" ht="15" hidden="false" customHeight="false" outlineLevel="0" collapsed="false">
      <c r="A14" s="20" t="s">
        <v>50</v>
      </c>
      <c r="B14" s="21"/>
      <c r="C14" s="21"/>
      <c r="D14" s="21"/>
      <c r="E14" s="21"/>
      <c r="F14" s="4" t="n">
        <f aca="false">COUNTA(B14:E14)</f>
        <v>0</v>
      </c>
      <c r="G14" s="22" t="s">
        <v>224</v>
      </c>
    </row>
    <row r="15" customFormat="false" ht="15" hidden="false" customHeight="false" outlineLevel="0" collapsed="false">
      <c r="A15" s="20" t="s">
        <v>53</v>
      </c>
      <c r="B15" s="21"/>
      <c r="C15" s="21"/>
      <c r="D15" s="21"/>
      <c r="E15" s="5" t="s">
        <v>225</v>
      </c>
      <c r="F15" s="4" t="n">
        <f aca="false">COUNTA(B15:E15)</f>
        <v>1</v>
      </c>
      <c r="G15" s="22"/>
    </row>
    <row r="16" customFormat="false" ht="15" hidden="false" customHeight="false" outlineLevel="0" collapsed="false">
      <c r="A16" s="20" t="s">
        <v>56</v>
      </c>
      <c r="B16" s="21"/>
      <c r="C16" s="21"/>
      <c r="D16" s="21"/>
      <c r="E16" s="5" t="s">
        <v>27</v>
      </c>
      <c r="F16" s="4" t="n">
        <f aca="false">COUNTA(B16:E16)</f>
        <v>1</v>
      </c>
      <c r="G16" s="22"/>
    </row>
    <row r="17" customFormat="false" ht="15" hidden="false" customHeight="false" outlineLevel="0" collapsed="false">
      <c r="A17" s="20" t="s">
        <v>59</v>
      </c>
      <c r="B17" s="21"/>
      <c r="C17" s="21"/>
      <c r="D17" s="5" t="s">
        <v>226</v>
      </c>
      <c r="E17" s="5" t="s">
        <v>227</v>
      </c>
      <c r="F17" s="4" t="n">
        <f aca="false">COUNTA(B17:E17)</f>
        <v>2</v>
      </c>
      <c r="G17" s="22" t="s">
        <v>228</v>
      </c>
    </row>
    <row r="18" customFormat="false" ht="15" hidden="false" customHeight="false" outlineLevel="0" collapsed="false">
      <c r="A18" s="20" t="s">
        <v>62</v>
      </c>
      <c r="B18" s="21"/>
      <c r="C18" s="21"/>
      <c r="D18" s="21"/>
      <c r="E18" s="5" t="s">
        <v>229</v>
      </c>
      <c r="F18" s="4" t="n">
        <f aca="false">COUNTA(B18:E18)</f>
        <v>1</v>
      </c>
      <c r="G18" s="22"/>
    </row>
    <row r="19" customFormat="false" ht="15" hidden="false" customHeight="false" outlineLevel="0" collapsed="false">
      <c r="A19" s="20" t="s">
        <v>65</v>
      </c>
      <c r="B19" s="21"/>
      <c r="C19" s="21"/>
      <c r="D19" s="5" t="s">
        <v>230</v>
      </c>
      <c r="E19" s="5" t="s">
        <v>231</v>
      </c>
      <c r="F19" s="4" t="n">
        <f aca="false">COUNTA(B19:E19)</f>
        <v>2</v>
      </c>
      <c r="G19" s="22" t="s">
        <v>232</v>
      </c>
    </row>
    <row r="20" customFormat="false" ht="15" hidden="false" customHeight="false" outlineLevel="0" collapsed="false">
      <c r="A20" s="20" t="s">
        <v>69</v>
      </c>
      <c r="B20" s="21"/>
      <c r="C20" s="21"/>
      <c r="D20" s="21"/>
      <c r="E20" s="5" t="s">
        <v>233</v>
      </c>
      <c r="F20" s="4" t="n">
        <f aca="false">COUNTA(B20:E20)</f>
        <v>1</v>
      </c>
      <c r="G20" s="22"/>
    </row>
    <row r="21" customFormat="false" ht="15" hidden="false" customHeight="false" outlineLevel="0" collapsed="false">
      <c r="A21" s="20" t="s">
        <v>72</v>
      </c>
      <c r="B21" s="21"/>
      <c r="C21" s="21"/>
      <c r="D21" s="5" t="s">
        <v>230</v>
      </c>
      <c r="E21" s="5" t="s">
        <v>230</v>
      </c>
      <c r="F21" s="4" t="n">
        <f aca="false">COUNTA(B21:E21)</f>
        <v>2</v>
      </c>
      <c r="G21" s="22" t="s">
        <v>234</v>
      </c>
    </row>
    <row r="22" customFormat="false" ht="15" hidden="false" customHeight="false" outlineLevel="0" collapsed="false">
      <c r="A22" s="20" t="s">
        <v>75</v>
      </c>
      <c r="B22" s="21"/>
      <c r="C22" s="5" t="s">
        <v>235</v>
      </c>
      <c r="D22" s="21"/>
      <c r="E22" s="21"/>
      <c r="F22" s="4" t="n">
        <f aca="false">COUNTA(B22:E22)</f>
        <v>1</v>
      </c>
      <c r="G22" s="22" t="s">
        <v>236</v>
      </c>
    </row>
    <row r="23" customFormat="false" ht="15" hidden="false" customHeight="false" outlineLevel="0" collapsed="false">
      <c r="A23" s="23" t="s">
        <v>80</v>
      </c>
      <c r="B23" s="21"/>
      <c r="C23" s="21"/>
      <c r="D23" s="21"/>
      <c r="E23" s="21"/>
      <c r="F23" s="4" t="n">
        <f aca="false">COUNTA(B23:E23)</f>
        <v>0</v>
      </c>
      <c r="G23" s="22" t="s">
        <v>237</v>
      </c>
    </row>
    <row r="24" customFormat="false" ht="15" hidden="false" customHeight="false" outlineLevel="0" collapsed="false">
      <c r="A24" s="23" t="s">
        <v>83</v>
      </c>
      <c r="B24" s="21"/>
      <c r="C24" s="21"/>
      <c r="D24" s="21"/>
      <c r="E24" s="21"/>
      <c r="F24" s="4" t="n">
        <f aca="false">COUNTA(B24:E24)</f>
        <v>0</v>
      </c>
      <c r="G24" s="22" t="s">
        <v>238</v>
      </c>
    </row>
    <row r="25" customFormat="false" ht="15" hidden="false" customHeight="false" outlineLevel="0" collapsed="false">
      <c r="A25" s="20" t="s">
        <v>88</v>
      </c>
      <c r="B25" s="5" t="s">
        <v>239</v>
      </c>
      <c r="C25" s="21"/>
      <c r="D25" s="5" t="s">
        <v>240</v>
      </c>
      <c r="E25" s="21"/>
      <c r="F25" s="4" t="n">
        <f aca="false">COUNTA(B25:E25)</f>
        <v>2</v>
      </c>
      <c r="G25" s="22"/>
    </row>
    <row r="26" customFormat="false" ht="15" hidden="false" customHeight="false" outlineLevel="0" collapsed="false">
      <c r="A26" s="20" t="s">
        <v>91</v>
      </c>
      <c r="B26" s="21"/>
      <c r="C26" s="21"/>
      <c r="D26" s="5" t="s">
        <v>241</v>
      </c>
      <c r="E26" s="21"/>
      <c r="F26" s="4" t="n">
        <f aca="false">COUNTA(B26:E26)</f>
        <v>1</v>
      </c>
      <c r="G26" s="22"/>
    </row>
    <row r="27" customFormat="false" ht="15" hidden="false" customHeight="false" outlineLevel="0" collapsed="false">
      <c r="A27" s="20" t="s">
        <v>94</v>
      </c>
      <c r="B27" s="5" t="s">
        <v>242</v>
      </c>
      <c r="C27" s="21"/>
      <c r="D27" s="21"/>
      <c r="E27" s="21"/>
      <c r="F27" s="4" t="n">
        <f aca="false">COUNTA(B27:E27)</f>
        <v>1</v>
      </c>
      <c r="G27" s="22"/>
    </row>
    <row r="28" customFormat="false" ht="15" hidden="false" customHeight="false" outlineLevel="0" collapsed="false">
      <c r="A28" s="20" t="s">
        <v>98</v>
      </c>
      <c r="B28" s="21"/>
      <c r="C28" s="21"/>
      <c r="D28" s="21"/>
      <c r="E28" s="21"/>
      <c r="F28" s="4" t="n">
        <f aca="false">COUNTA(B28:E28)</f>
        <v>0</v>
      </c>
      <c r="G28" s="22" t="s">
        <v>243</v>
      </c>
    </row>
    <row r="29" customFormat="false" ht="22.35" hidden="false" customHeight="false" outlineLevel="0" collapsed="false">
      <c r="A29" s="20" t="s">
        <v>102</v>
      </c>
      <c r="B29" s="5" t="s">
        <v>244</v>
      </c>
      <c r="C29" s="5" t="s">
        <v>245</v>
      </c>
      <c r="D29" s="5" t="s">
        <v>246</v>
      </c>
      <c r="E29" s="5" t="s">
        <v>247</v>
      </c>
      <c r="F29" s="4" t="n">
        <f aca="false">COUNTA(B29:E29)</f>
        <v>4</v>
      </c>
      <c r="G29" s="22" t="s">
        <v>248</v>
      </c>
    </row>
    <row r="30" customFormat="false" ht="15" hidden="false" customHeight="false" outlineLevel="0" collapsed="false">
      <c r="A30" s="20" t="s">
        <v>105</v>
      </c>
      <c r="B30" s="5" t="s">
        <v>7</v>
      </c>
      <c r="C30" s="21"/>
      <c r="D30" s="5" t="s">
        <v>7</v>
      </c>
      <c r="E30" s="5" t="s">
        <v>7</v>
      </c>
      <c r="F30" s="4" t="n">
        <f aca="false">COUNTA(B30:E30)</f>
        <v>3</v>
      </c>
      <c r="G30" s="22"/>
    </row>
    <row r="31" customFormat="false" ht="15" hidden="false" customHeight="false" outlineLevel="0" collapsed="false">
      <c r="A31" s="20" t="s">
        <v>108</v>
      </c>
      <c r="B31" s="5" t="s">
        <v>249</v>
      </c>
      <c r="C31" s="21"/>
      <c r="D31" s="21"/>
      <c r="E31" s="21"/>
      <c r="F31" s="4" t="n">
        <f aca="false">COUNTA(B31:E31)</f>
        <v>1</v>
      </c>
      <c r="G31" s="22"/>
    </row>
    <row r="32" customFormat="false" ht="15" hidden="false" customHeight="false" outlineLevel="0" collapsed="false">
      <c r="A32" s="20" t="s">
        <v>111</v>
      </c>
      <c r="B32" s="5" t="s">
        <v>250</v>
      </c>
      <c r="C32" s="21"/>
      <c r="D32" s="21"/>
      <c r="E32" s="21"/>
      <c r="F32" s="4" t="n">
        <f aca="false">COUNTA(B32:E32)</f>
        <v>1</v>
      </c>
      <c r="G32" s="22"/>
    </row>
    <row r="33" customFormat="false" ht="15" hidden="false" customHeight="false" outlineLevel="0" collapsed="false">
      <c r="A33" s="20" t="s">
        <v>114</v>
      </c>
      <c r="B33" s="21"/>
      <c r="C33" s="21"/>
      <c r="D33" s="5" t="s">
        <v>251</v>
      </c>
      <c r="E33" s="21"/>
      <c r="F33" s="4" t="n">
        <f aca="false">COUNTA(B33:E33)</f>
        <v>1</v>
      </c>
      <c r="G33" s="22"/>
    </row>
    <row r="34" customFormat="false" ht="15" hidden="false" customHeight="false" outlineLevel="0" collapsed="false">
      <c r="A34" s="20" t="s">
        <v>117</v>
      </c>
      <c r="B34" s="21"/>
      <c r="C34" s="21"/>
      <c r="D34" s="5" t="s">
        <v>118</v>
      </c>
      <c r="E34" s="21"/>
      <c r="F34" s="4" t="n">
        <f aca="false">COUNTA(B34:E34)</f>
        <v>1</v>
      </c>
      <c r="G34" s="22"/>
    </row>
    <row r="35" customFormat="false" ht="15" hidden="false" customHeight="false" outlineLevel="0" collapsed="false">
      <c r="A35" s="20" t="s">
        <v>120</v>
      </c>
      <c r="B35" s="21"/>
      <c r="C35" s="21"/>
      <c r="D35" s="5" t="s">
        <v>252</v>
      </c>
      <c r="E35" s="21"/>
      <c r="F35" s="4" t="n">
        <f aca="false">COUNTA(B35:E35)</f>
        <v>1</v>
      </c>
      <c r="G35" s="22"/>
    </row>
    <row r="36" customFormat="false" ht="15" hidden="false" customHeight="false" outlineLevel="0" collapsed="false">
      <c r="A36" s="20" t="s">
        <v>124</v>
      </c>
      <c r="B36" s="5" t="s">
        <v>253</v>
      </c>
      <c r="C36" s="21"/>
      <c r="D36" s="5" t="s">
        <v>254</v>
      </c>
      <c r="E36" s="21"/>
      <c r="F36" s="4" t="n">
        <f aca="false">COUNTA(B36:E36)</f>
        <v>2</v>
      </c>
      <c r="G36" s="22"/>
    </row>
    <row r="37" customFormat="false" ht="15" hidden="false" customHeight="false" outlineLevel="0" collapsed="false">
      <c r="A37" s="20" t="s">
        <v>127</v>
      </c>
      <c r="B37" s="5" t="s">
        <v>255</v>
      </c>
      <c r="C37" s="5" t="s">
        <v>255</v>
      </c>
      <c r="D37" s="5" t="s">
        <v>255</v>
      </c>
      <c r="E37" s="21"/>
      <c r="F37" s="4" t="n">
        <f aca="false">COUNTA(B37:E37)</f>
        <v>3</v>
      </c>
      <c r="G37" s="22" t="s">
        <v>256</v>
      </c>
    </row>
    <row r="38" customFormat="false" ht="15" hidden="false" customHeight="false" outlineLevel="0" collapsed="false">
      <c r="A38" s="20" t="s">
        <v>130</v>
      </c>
      <c r="B38" s="5" t="s">
        <v>257</v>
      </c>
      <c r="C38" s="21"/>
      <c r="D38" s="21"/>
      <c r="E38" s="21"/>
      <c r="F38" s="4" t="n">
        <f aca="false">COUNTA(B38:E38)</f>
        <v>1</v>
      </c>
      <c r="G38" s="22"/>
    </row>
    <row r="39" customFormat="false" ht="15" hidden="false" customHeight="false" outlineLevel="0" collapsed="false">
      <c r="A39" s="20" t="s">
        <v>133</v>
      </c>
      <c r="B39" s="5" t="s">
        <v>258</v>
      </c>
      <c r="C39" s="21"/>
      <c r="D39" s="21"/>
      <c r="E39" s="21"/>
      <c r="F39" s="4" t="n">
        <f aca="false">COUNTA(B39:E39)</f>
        <v>1</v>
      </c>
      <c r="G39" s="22" t="s">
        <v>259</v>
      </c>
    </row>
    <row r="40" customFormat="false" ht="15" hidden="false" customHeight="false" outlineLevel="0" collapsed="false">
      <c r="A40" s="20" t="s">
        <v>136</v>
      </c>
      <c r="B40" s="5" t="s">
        <v>260</v>
      </c>
      <c r="C40" s="21"/>
      <c r="D40" s="21"/>
      <c r="E40" s="21"/>
      <c r="F40" s="4" t="n">
        <f aca="false">COUNTA(B40:E40)</f>
        <v>1</v>
      </c>
      <c r="G40" s="22"/>
    </row>
    <row r="41" customFormat="false" ht="15" hidden="false" customHeight="false" outlineLevel="0" collapsed="false">
      <c r="A41" s="20" t="s">
        <v>139</v>
      </c>
      <c r="B41" s="21"/>
      <c r="C41" s="21"/>
      <c r="D41" s="5" t="s">
        <v>261</v>
      </c>
      <c r="E41" s="21"/>
      <c r="F41" s="4" t="n">
        <f aca="false">COUNTA(B41:E41)</f>
        <v>1</v>
      </c>
      <c r="G41" s="22"/>
    </row>
    <row r="42" customFormat="false" ht="15" hidden="false" customHeight="false" outlineLevel="0" collapsed="false">
      <c r="A42" s="20" t="s">
        <v>143</v>
      </c>
      <c r="B42" s="21"/>
      <c r="C42" s="21"/>
      <c r="D42" s="21"/>
      <c r="E42" s="21"/>
      <c r="F42" s="4" t="n">
        <f aca="false">COUNTA(B42:E42)</f>
        <v>0</v>
      </c>
      <c r="G42" s="22" t="s">
        <v>262</v>
      </c>
    </row>
    <row r="43" customFormat="false" ht="15" hidden="false" customHeight="false" outlineLevel="0" collapsed="false">
      <c r="A43" s="20" t="s">
        <v>146</v>
      </c>
      <c r="B43" s="5" t="s">
        <v>263</v>
      </c>
      <c r="C43" s="21"/>
      <c r="D43" s="5" t="s">
        <v>264</v>
      </c>
      <c r="E43" s="5" t="s">
        <v>265</v>
      </c>
      <c r="F43" s="4" t="n">
        <f aca="false">COUNTA(B43:E43)</f>
        <v>3</v>
      </c>
      <c r="G43" s="22" t="s">
        <v>266</v>
      </c>
    </row>
    <row r="44" customFormat="false" ht="15" hidden="false" customHeight="false" outlineLevel="0" collapsed="false">
      <c r="A44" s="20" t="s">
        <v>150</v>
      </c>
      <c r="B44" s="5" t="s">
        <v>267</v>
      </c>
      <c r="C44" s="5" t="s">
        <v>268</v>
      </c>
      <c r="D44" s="5" t="s">
        <v>269</v>
      </c>
      <c r="E44" s="5" t="s">
        <v>152</v>
      </c>
      <c r="F44" s="4" t="n">
        <f aca="false">COUNTA(B44:E44)</f>
        <v>4</v>
      </c>
      <c r="G44" s="22" t="s">
        <v>262</v>
      </c>
    </row>
    <row r="45" customFormat="false" ht="15" hidden="false" customHeight="false" outlineLevel="0" collapsed="false">
      <c r="A45" s="23" t="s">
        <v>153</v>
      </c>
      <c r="B45" s="21"/>
      <c r="C45" s="21"/>
      <c r="D45" s="21"/>
      <c r="E45" s="21"/>
      <c r="F45" s="4" t="n">
        <f aca="false">COUNTA(B45:E45)</f>
        <v>0</v>
      </c>
      <c r="G45" s="22" t="s">
        <v>270</v>
      </c>
    </row>
    <row r="46" customFormat="false" ht="15" hidden="false" customHeight="false" outlineLevel="0" collapsed="false">
      <c r="A46" s="23" t="s">
        <v>157</v>
      </c>
      <c r="B46" s="21"/>
      <c r="C46" s="21"/>
      <c r="D46" s="21"/>
      <c r="E46" s="21"/>
      <c r="F46" s="4" t="n">
        <f aca="false">COUNTA(B46:E46)</f>
        <v>0</v>
      </c>
      <c r="G46" s="22" t="s">
        <v>271</v>
      </c>
    </row>
    <row r="47" customFormat="false" ht="15" hidden="false" customHeight="false" outlineLevel="0" collapsed="false">
      <c r="A47" s="20" t="s">
        <v>160</v>
      </c>
      <c r="B47" s="21"/>
      <c r="C47" s="21"/>
      <c r="D47" s="21"/>
      <c r="E47" s="5" t="s">
        <v>272</v>
      </c>
      <c r="F47" s="4" t="n">
        <f aca="false">COUNTA(B47:E47)</f>
        <v>1</v>
      </c>
      <c r="G47" s="22"/>
    </row>
    <row r="48" customFormat="false" ht="15" hidden="false" customHeight="false" outlineLevel="0" collapsed="false">
      <c r="A48" s="20" t="s">
        <v>163</v>
      </c>
      <c r="B48" s="21"/>
      <c r="C48" s="21"/>
      <c r="D48" s="21"/>
      <c r="E48" s="5" t="s">
        <v>273</v>
      </c>
      <c r="F48" s="4" t="n">
        <f aca="false">COUNTA(B48:E48)</f>
        <v>1</v>
      </c>
      <c r="G48" s="22"/>
    </row>
    <row r="49" customFormat="false" ht="23.85" hidden="false" customHeight="false" outlineLevel="0" collapsed="false">
      <c r="A49" s="20" t="s">
        <v>166</v>
      </c>
      <c r="B49" s="21"/>
      <c r="C49" s="21"/>
      <c r="D49" s="5" t="s">
        <v>274</v>
      </c>
      <c r="E49" s="21"/>
      <c r="F49" s="4" t="n">
        <f aca="false">COUNTA(B49:E49)</f>
        <v>1</v>
      </c>
      <c r="G49" s="22" t="s">
        <v>275</v>
      </c>
    </row>
    <row r="50" customFormat="false" ht="15" hidden="false" customHeight="false" outlineLevel="0" collapsed="false">
      <c r="A50" s="20" t="s">
        <v>169</v>
      </c>
      <c r="B50" s="21"/>
      <c r="C50" s="21"/>
      <c r="D50" s="5" t="s">
        <v>276</v>
      </c>
      <c r="E50" s="21"/>
      <c r="F50" s="4" t="n">
        <f aca="false">COUNTA(B50:E50)</f>
        <v>1</v>
      </c>
      <c r="G50" s="22"/>
    </row>
    <row r="51" customFormat="false" ht="15" hidden="false" customHeight="false" outlineLevel="0" collapsed="false">
      <c r="A51" s="23" t="s">
        <v>172</v>
      </c>
      <c r="B51" s="21"/>
      <c r="C51" s="21"/>
      <c r="D51" s="21"/>
      <c r="E51" s="21"/>
      <c r="F51" s="4" t="n">
        <f aca="false">COUNTA(B51:E51)</f>
        <v>0</v>
      </c>
      <c r="G51" s="22" t="s">
        <v>277</v>
      </c>
    </row>
    <row r="52" customFormat="false" ht="15" hidden="false" customHeight="false" outlineLevel="0" collapsed="false">
      <c r="A52" s="23" t="s">
        <v>175</v>
      </c>
      <c r="B52" s="21"/>
      <c r="C52" s="21"/>
      <c r="D52" s="21"/>
      <c r="E52" s="21"/>
      <c r="F52" s="4" t="n">
        <f aca="false">COUNTA(B52:E52)</f>
        <v>0</v>
      </c>
      <c r="G52" s="22" t="s">
        <v>278</v>
      </c>
    </row>
    <row r="53" customFormat="false" ht="15" hidden="false" customHeight="false" outlineLevel="0" collapsed="false">
      <c r="A53" s="23" t="s">
        <v>178</v>
      </c>
      <c r="B53" s="21"/>
      <c r="C53" s="21"/>
      <c r="D53" s="21"/>
      <c r="E53" s="21"/>
      <c r="F53" s="4" t="n">
        <f aca="false">COUNTA(B53:E53)</f>
        <v>0</v>
      </c>
      <c r="G53" s="22" t="s">
        <v>279</v>
      </c>
    </row>
    <row r="54" customFormat="false" ht="15" hidden="false" customHeight="false" outlineLevel="0" collapsed="false">
      <c r="A54" s="20" t="s">
        <v>181</v>
      </c>
      <c r="B54" s="21"/>
      <c r="C54" s="21"/>
      <c r="D54" s="5" t="s">
        <v>280</v>
      </c>
      <c r="E54" s="21"/>
      <c r="F54" s="4" t="n">
        <f aca="false">COUNTA(B54:E54)</f>
        <v>1</v>
      </c>
      <c r="G54" s="22" t="s">
        <v>281</v>
      </c>
    </row>
    <row r="55" customFormat="false" ht="15" hidden="false" customHeight="false" outlineLevel="0" collapsed="false">
      <c r="A55" s="20" t="s">
        <v>184</v>
      </c>
      <c r="B55" s="5" t="s">
        <v>282</v>
      </c>
      <c r="C55" s="21"/>
      <c r="D55" s="5" t="s">
        <v>283</v>
      </c>
      <c r="E55" s="5" t="s">
        <v>284</v>
      </c>
      <c r="F55" s="4" t="n">
        <f aca="false">COUNTA(B55:E55)</f>
        <v>3</v>
      </c>
      <c r="G55" s="22" t="s">
        <v>285</v>
      </c>
    </row>
    <row r="56" customFormat="false" ht="15" hidden="false" customHeight="false" outlineLevel="0" collapsed="false">
      <c r="A56" s="20" t="s">
        <v>187</v>
      </c>
      <c r="B56" s="21"/>
      <c r="C56" s="21"/>
      <c r="D56" s="5" t="s">
        <v>286</v>
      </c>
      <c r="E56" s="5" t="s">
        <v>287</v>
      </c>
      <c r="F56" s="4" t="n">
        <f aca="false">COUNTA(B56:E56)</f>
        <v>2</v>
      </c>
      <c r="G56" s="22" t="s">
        <v>288</v>
      </c>
    </row>
    <row r="57" customFormat="false" ht="15" hidden="false" customHeight="false" outlineLevel="0" collapsed="false">
      <c r="A57" s="20" t="s">
        <v>190</v>
      </c>
      <c r="B57" s="21"/>
      <c r="C57" s="21"/>
      <c r="D57" s="21"/>
      <c r="E57" s="21"/>
      <c r="F57" s="4" t="n">
        <f aca="false">COUNTA(B57:E57)</f>
        <v>0</v>
      </c>
      <c r="G57" s="22" t="s">
        <v>289</v>
      </c>
    </row>
    <row r="58" customFormat="false" ht="15" hidden="false" customHeight="false" outlineLevel="0" collapsed="false">
      <c r="A58" s="20" t="s">
        <v>194</v>
      </c>
      <c r="B58" s="21"/>
      <c r="C58" s="21"/>
      <c r="D58" s="5" t="s">
        <v>230</v>
      </c>
      <c r="E58" s="5" t="s">
        <v>230</v>
      </c>
      <c r="F58" s="4" t="n">
        <f aca="false">COUNTA(B58:E58)</f>
        <v>2</v>
      </c>
      <c r="G58" s="22"/>
    </row>
    <row r="59" customFormat="false" ht="15" hidden="false" customHeight="false" outlineLevel="0" collapsed="false">
      <c r="A59" s="20" t="s">
        <v>197</v>
      </c>
      <c r="B59" s="21"/>
      <c r="C59" s="21"/>
      <c r="D59" s="5" t="s">
        <v>290</v>
      </c>
      <c r="E59" s="21"/>
      <c r="F59" s="4" t="n">
        <f aca="false">COUNTA(B59:E59)</f>
        <v>1</v>
      </c>
      <c r="G59" s="22"/>
    </row>
    <row r="60" customFormat="false" ht="15" hidden="false" customHeight="false" outlineLevel="0" collapsed="false">
      <c r="A60" s="20" t="s">
        <v>200</v>
      </c>
      <c r="B60" s="21"/>
      <c r="C60" s="21"/>
      <c r="D60" s="5" t="s">
        <v>291</v>
      </c>
      <c r="E60" s="21"/>
      <c r="F60" s="4" t="n">
        <f aca="false">COUNTA(B60:E60)</f>
        <v>1</v>
      </c>
      <c r="G60" s="22"/>
    </row>
  </sheetData>
  <autoFilter ref="A3:G60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24" hidden="false" customHeight="true" outlineLevel="0" collapsed="false">
      <c r="A1" s="24" t="s">
        <v>292</v>
      </c>
      <c r="B1" s="24"/>
      <c r="C1" s="24"/>
      <c r="D1" s="24"/>
      <c r="E1" s="24"/>
      <c r="F1" s="24"/>
    </row>
    <row r="2" customFormat="false" ht="27.75" hidden="false" customHeight="true" outlineLevel="0" collapsed="false">
      <c r="A2" s="19" t="s">
        <v>293</v>
      </c>
      <c r="B2" s="19"/>
      <c r="C2" s="19"/>
      <c r="D2" s="19"/>
      <c r="E2" s="19"/>
      <c r="F2" s="19"/>
    </row>
    <row r="3" customFormat="false" ht="30" hidden="false" customHeight="true" outlineLevel="0" collapsed="false">
      <c r="A3" s="2" t="s">
        <v>294</v>
      </c>
      <c r="B3" s="2" t="s">
        <v>295</v>
      </c>
      <c r="C3" s="2" t="s">
        <v>296</v>
      </c>
      <c r="D3" s="2" t="s">
        <v>297</v>
      </c>
      <c r="E3" s="2" t="s">
        <v>298</v>
      </c>
      <c r="F3" s="2" t="s">
        <v>299</v>
      </c>
    </row>
    <row r="4" customFormat="false" ht="16.5" hidden="false" customHeight="true" outlineLevel="0" collapsed="false">
      <c r="A4" s="14" t="s">
        <v>300</v>
      </c>
      <c r="B4" s="14"/>
      <c r="C4" s="14"/>
      <c r="D4" s="14"/>
      <c r="E4" s="14"/>
      <c r="F4" s="14"/>
    </row>
    <row r="5" customFormat="false" ht="15" hidden="false" customHeight="false" outlineLevel="0" collapsed="false">
      <c r="A5" s="5"/>
      <c r="B5" s="5" t="s">
        <v>301</v>
      </c>
      <c r="C5" s="4" t="s">
        <v>302</v>
      </c>
      <c r="D5" s="5" t="s">
        <v>303</v>
      </c>
      <c r="E5" s="5" t="s">
        <v>304</v>
      </c>
      <c r="F5" s="5"/>
    </row>
    <row r="6" customFormat="false" ht="15" hidden="false" customHeight="false" outlineLevel="0" collapsed="false">
      <c r="A6" s="5"/>
      <c r="B6" s="5" t="s">
        <v>305</v>
      </c>
      <c r="C6" s="4" t="s">
        <v>302</v>
      </c>
      <c r="D6" s="5" t="s">
        <v>306</v>
      </c>
      <c r="E6" s="5" t="s">
        <v>307</v>
      </c>
      <c r="F6" s="5"/>
    </row>
    <row r="7" customFormat="false" ht="15" hidden="false" customHeight="false" outlineLevel="0" collapsed="false">
      <c r="A7" s="5"/>
      <c r="B7" s="5" t="s">
        <v>308</v>
      </c>
      <c r="C7" s="4" t="s">
        <v>302</v>
      </c>
      <c r="D7" s="5" t="s">
        <v>309</v>
      </c>
      <c r="E7" s="5" t="s">
        <v>310</v>
      </c>
      <c r="F7" s="5"/>
    </row>
    <row r="8" customFormat="false" ht="15" hidden="false" customHeight="false" outlineLevel="0" collapsed="false">
      <c r="A8" s="5"/>
      <c r="B8" s="5" t="s">
        <v>311</v>
      </c>
      <c r="C8" s="4" t="s">
        <v>302</v>
      </c>
      <c r="D8" s="5" t="s">
        <v>309</v>
      </c>
      <c r="E8" s="5" t="s">
        <v>312</v>
      </c>
      <c r="F8" s="5"/>
    </row>
    <row r="9" customFormat="false" ht="15" hidden="false" customHeight="false" outlineLevel="0" collapsed="false">
      <c r="A9" s="5"/>
      <c r="B9" s="5" t="s">
        <v>313</v>
      </c>
      <c r="C9" s="4" t="s">
        <v>302</v>
      </c>
      <c r="D9" s="5" t="s">
        <v>303</v>
      </c>
      <c r="E9" s="5" t="s">
        <v>314</v>
      </c>
      <c r="F9" s="5"/>
    </row>
    <row r="10" customFormat="false" ht="15" hidden="false" customHeight="false" outlineLevel="0" collapsed="false">
      <c r="A10" s="5"/>
      <c r="B10" s="5" t="s">
        <v>315</v>
      </c>
      <c r="C10" s="4" t="s">
        <v>302</v>
      </c>
      <c r="D10" s="5" t="s">
        <v>316</v>
      </c>
      <c r="E10" s="5" t="s">
        <v>314</v>
      </c>
      <c r="F10" s="5"/>
    </row>
    <row r="11" customFormat="false" ht="15" hidden="false" customHeight="false" outlineLevel="0" collapsed="false">
      <c r="A11" s="5"/>
      <c r="B11" s="5" t="s">
        <v>317</v>
      </c>
      <c r="C11" s="4" t="s">
        <v>302</v>
      </c>
      <c r="D11" s="5" t="s">
        <v>309</v>
      </c>
      <c r="E11" s="5" t="s">
        <v>318</v>
      </c>
      <c r="F11" s="5"/>
    </row>
    <row r="12" customFormat="false" ht="15" hidden="false" customHeight="false" outlineLevel="0" collapsed="false">
      <c r="A12" s="5"/>
      <c r="B12" s="5" t="s">
        <v>319</v>
      </c>
      <c r="C12" s="4" t="s">
        <v>302</v>
      </c>
      <c r="D12" s="5" t="s">
        <v>320</v>
      </c>
      <c r="E12" s="5" t="s">
        <v>321</v>
      </c>
      <c r="F12" s="5"/>
    </row>
    <row r="13" customFormat="false" ht="15" hidden="false" customHeight="false" outlineLevel="0" collapsed="false">
      <c r="A13" s="5"/>
      <c r="B13" s="5" t="s">
        <v>322</v>
      </c>
      <c r="C13" s="4" t="s">
        <v>302</v>
      </c>
      <c r="D13" s="5" t="s">
        <v>323</v>
      </c>
      <c r="E13" s="5" t="s">
        <v>324</v>
      </c>
      <c r="F13" s="5"/>
    </row>
    <row r="14" customFormat="false" ht="15" hidden="false" customHeight="false" outlineLevel="0" collapsed="false">
      <c r="A14" s="5"/>
      <c r="B14" s="5" t="s">
        <v>325</v>
      </c>
      <c r="C14" s="4" t="s">
        <v>302</v>
      </c>
      <c r="D14" s="5" t="s">
        <v>309</v>
      </c>
      <c r="E14" s="5" t="s">
        <v>326</v>
      </c>
      <c r="F14" s="5"/>
    </row>
    <row r="15" customFormat="false" ht="15" hidden="false" customHeight="false" outlineLevel="0" collapsed="false">
      <c r="A15" s="5"/>
      <c r="B15" s="5" t="s">
        <v>327</v>
      </c>
      <c r="C15" s="4" t="s">
        <v>302</v>
      </c>
      <c r="D15" s="5" t="s">
        <v>309</v>
      </c>
      <c r="E15" s="5" t="s">
        <v>312</v>
      </c>
      <c r="F15" s="5"/>
    </row>
    <row r="16" customFormat="false" ht="15" hidden="false" customHeight="false" outlineLevel="0" collapsed="false">
      <c r="A16" s="5"/>
      <c r="B16" s="5" t="s">
        <v>328</v>
      </c>
      <c r="C16" s="4" t="s">
        <v>302</v>
      </c>
      <c r="D16" s="5" t="s">
        <v>309</v>
      </c>
      <c r="E16" s="5" t="s">
        <v>329</v>
      </c>
      <c r="F16" s="5"/>
    </row>
    <row r="17" customFormat="false" ht="16.5" hidden="false" customHeight="true" outlineLevel="0" collapsed="false">
      <c r="A17" s="25" t="s">
        <v>330</v>
      </c>
      <c r="B17" s="25"/>
      <c r="C17" s="25"/>
      <c r="D17" s="25"/>
      <c r="E17" s="25"/>
      <c r="F17" s="25"/>
    </row>
    <row r="18" customFormat="false" ht="15" hidden="false" customHeight="false" outlineLevel="0" collapsed="false">
      <c r="A18" s="5"/>
      <c r="B18" s="5" t="s">
        <v>331</v>
      </c>
      <c r="C18" s="4" t="s">
        <v>302</v>
      </c>
      <c r="D18" s="5" t="s">
        <v>309</v>
      </c>
      <c r="E18" s="5" t="s">
        <v>332</v>
      </c>
      <c r="F18" s="5"/>
    </row>
    <row r="19" customFormat="false" ht="15" hidden="false" customHeight="false" outlineLevel="0" collapsed="false">
      <c r="A19" s="5"/>
      <c r="B19" s="5" t="s">
        <v>333</v>
      </c>
      <c r="C19" s="4" t="s">
        <v>302</v>
      </c>
      <c r="D19" s="5" t="s">
        <v>309</v>
      </c>
      <c r="E19" s="5" t="s">
        <v>334</v>
      </c>
      <c r="F19" s="5"/>
    </row>
    <row r="20" customFormat="false" ht="15" hidden="false" customHeight="false" outlineLevel="0" collapsed="false">
      <c r="A20" s="5"/>
      <c r="B20" s="5" t="s">
        <v>335</v>
      </c>
      <c r="C20" s="4" t="s">
        <v>302</v>
      </c>
      <c r="D20" s="5" t="s">
        <v>309</v>
      </c>
      <c r="E20" s="5" t="s">
        <v>332</v>
      </c>
      <c r="F20" s="5"/>
    </row>
    <row r="21" customFormat="false" ht="15" hidden="false" customHeight="false" outlineLevel="0" collapsed="false">
      <c r="A21" s="5"/>
      <c r="B21" s="5" t="s">
        <v>336</v>
      </c>
      <c r="C21" s="4" t="s">
        <v>302</v>
      </c>
      <c r="D21" s="5" t="s">
        <v>316</v>
      </c>
      <c r="E21" s="5" t="s">
        <v>337</v>
      </c>
      <c r="F21" s="5"/>
    </row>
    <row r="22" customFormat="false" ht="15" hidden="false" customHeight="false" outlineLevel="0" collapsed="false">
      <c r="A22" s="5"/>
      <c r="B22" s="5" t="s">
        <v>338</v>
      </c>
      <c r="C22" s="4" t="s">
        <v>339</v>
      </c>
      <c r="D22" s="5" t="s">
        <v>309</v>
      </c>
      <c r="E22" s="5" t="s">
        <v>340</v>
      </c>
      <c r="F22" s="5"/>
    </row>
    <row r="23" customFormat="false" ht="16.5" hidden="false" customHeight="true" outlineLevel="0" collapsed="false">
      <c r="A23" s="16" t="s">
        <v>341</v>
      </c>
      <c r="B23" s="16"/>
      <c r="C23" s="16"/>
      <c r="D23" s="16"/>
      <c r="E23" s="16"/>
      <c r="F23" s="16"/>
    </row>
    <row r="24" customFormat="false" ht="15" hidden="false" customHeight="false" outlineLevel="0" collapsed="false">
      <c r="A24" s="5"/>
      <c r="B24" s="5" t="s">
        <v>342</v>
      </c>
      <c r="C24" s="4" t="s">
        <v>339</v>
      </c>
      <c r="D24" s="5" t="s">
        <v>316</v>
      </c>
      <c r="E24" s="5" t="s">
        <v>343</v>
      </c>
      <c r="F24" s="26" t="s">
        <v>344</v>
      </c>
    </row>
    <row r="25" customFormat="false" ht="15" hidden="false" customHeight="false" outlineLevel="0" collapsed="false">
      <c r="A25" s="5"/>
      <c r="B25" s="5" t="s">
        <v>345</v>
      </c>
      <c r="C25" s="4" t="s">
        <v>339</v>
      </c>
      <c r="D25" s="5" t="s">
        <v>346</v>
      </c>
      <c r="E25" s="5" t="s">
        <v>347</v>
      </c>
      <c r="F25" s="26" t="s">
        <v>344</v>
      </c>
    </row>
    <row r="26" customFormat="false" ht="15" hidden="false" customHeight="false" outlineLevel="0" collapsed="false">
      <c r="A26" s="5"/>
      <c r="B26" s="5" t="s">
        <v>348</v>
      </c>
      <c r="C26" s="4" t="s">
        <v>339</v>
      </c>
      <c r="D26" s="5" t="s">
        <v>349</v>
      </c>
      <c r="E26" s="5" t="s">
        <v>350</v>
      </c>
      <c r="F26" s="5"/>
    </row>
    <row r="27" customFormat="false" ht="15" hidden="false" customHeight="false" outlineLevel="0" collapsed="false">
      <c r="A27" s="5"/>
      <c r="B27" s="5" t="s">
        <v>351</v>
      </c>
      <c r="C27" s="4" t="s">
        <v>339</v>
      </c>
      <c r="D27" s="5" t="s">
        <v>323</v>
      </c>
      <c r="E27" s="5" t="s">
        <v>352</v>
      </c>
      <c r="F27" s="5"/>
    </row>
    <row r="28" customFormat="false" ht="15" hidden="false" customHeight="false" outlineLevel="0" collapsed="false">
      <c r="A28" s="5"/>
      <c r="B28" s="5" t="s">
        <v>353</v>
      </c>
      <c r="C28" s="4" t="s">
        <v>339</v>
      </c>
      <c r="D28" s="5" t="s">
        <v>354</v>
      </c>
      <c r="E28" s="5" t="s">
        <v>355</v>
      </c>
      <c r="F28" s="26" t="s">
        <v>344</v>
      </c>
    </row>
    <row r="29" customFormat="false" ht="16.5" hidden="false" customHeight="true" outlineLevel="0" collapsed="false">
      <c r="A29" s="15" t="s">
        <v>356</v>
      </c>
      <c r="B29" s="15"/>
      <c r="C29" s="15"/>
      <c r="D29" s="15"/>
      <c r="E29" s="15"/>
      <c r="F29" s="15"/>
    </row>
    <row r="30" customFormat="false" ht="15" hidden="false" customHeight="false" outlineLevel="0" collapsed="false">
      <c r="A30" s="5"/>
      <c r="B30" s="5" t="s">
        <v>357</v>
      </c>
      <c r="C30" s="4" t="s">
        <v>339</v>
      </c>
      <c r="D30" s="5" t="s">
        <v>309</v>
      </c>
      <c r="E30" s="5" t="s">
        <v>358</v>
      </c>
      <c r="F30" s="26" t="s">
        <v>359</v>
      </c>
    </row>
    <row r="31" customFormat="false" ht="15" hidden="false" customHeight="false" outlineLevel="0" collapsed="false">
      <c r="A31" s="5"/>
      <c r="B31" s="5" t="s">
        <v>360</v>
      </c>
      <c r="C31" s="4" t="s">
        <v>339</v>
      </c>
      <c r="D31" s="5" t="s">
        <v>309</v>
      </c>
      <c r="E31" s="5" t="s">
        <v>361</v>
      </c>
      <c r="F31" s="26" t="s">
        <v>359</v>
      </c>
    </row>
    <row r="32" customFormat="false" ht="15" hidden="false" customHeight="false" outlineLevel="0" collapsed="false">
      <c r="A32" s="5"/>
      <c r="B32" s="5" t="s">
        <v>362</v>
      </c>
      <c r="C32" s="4" t="s">
        <v>339</v>
      </c>
      <c r="D32" s="5" t="s">
        <v>309</v>
      </c>
      <c r="E32" s="5" t="s">
        <v>267</v>
      </c>
      <c r="F32" s="5"/>
    </row>
    <row r="33" customFormat="false" ht="15" hidden="false" customHeight="false" outlineLevel="0" collapsed="false">
      <c r="A33" s="5"/>
      <c r="B33" s="5" t="s">
        <v>363</v>
      </c>
      <c r="C33" s="4" t="s">
        <v>339</v>
      </c>
      <c r="D33" s="5" t="s">
        <v>145</v>
      </c>
      <c r="E33" s="5" t="s">
        <v>364</v>
      </c>
      <c r="F33" s="5"/>
    </row>
    <row r="34" customFormat="false" ht="15" hidden="false" customHeight="false" outlineLevel="0" collapsed="false">
      <c r="A34" s="5"/>
      <c r="B34" s="5" t="s">
        <v>365</v>
      </c>
      <c r="C34" s="4" t="s">
        <v>339</v>
      </c>
      <c r="D34" s="5" t="s">
        <v>323</v>
      </c>
      <c r="E34" s="5" t="s">
        <v>366</v>
      </c>
      <c r="F34" s="5"/>
    </row>
    <row r="35" customFormat="false" ht="16.5" hidden="false" customHeight="true" outlineLevel="0" collapsed="false">
      <c r="A35" s="13" t="s">
        <v>367</v>
      </c>
      <c r="B35" s="13"/>
      <c r="C35" s="13"/>
      <c r="D35" s="13"/>
      <c r="E35" s="13"/>
      <c r="F35" s="13"/>
    </row>
    <row r="36" customFormat="false" ht="15" hidden="false" customHeight="false" outlineLevel="0" collapsed="false">
      <c r="A36" s="5"/>
      <c r="B36" s="5" t="s">
        <v>368</v>
      </c>
      <c r="C36" s="4" t="s">
        <v>339</v>
      </c>
      <c r="D36" s="5" t="s">
        <v>354</v>
      </c>
      <c r="E36" s="5" t="s">
        <v>369</v>
      </c>
      <c r="F36" s="26" t="s">
        <v>370</v>
      </c>
    </row>
    <row r="37" customFormat="false" ht="15" hidden="false" customHeight="false" outlineLevel="0" collapsed="false">
      <c r="A37" s="5"/>
      <c r="B37" s="5" t="s">
        <v>371</v>
      </c>
      <c r="C37" s="4" t="s">
        <v>339</v>
      </c>
      <c r="D37" s="5" t="s">
        <v>309</v>
      </c>
      <c r="E37" s="5" t="s">
        <v>372</v>
      </c>
      <c r="F37" s="5"/>
    </row>
    <row r="38" customFormat="false" ht="15" hidden="false" customHeight="false" outlineLevel="0" collapsed="false">
      <c r="A38" s="5"/>
      <c r="B38" s="5" t="s">
        <v>373</v>
      </c>
      <c r="C38" s="4" t="s">
        <v>339</v>
      </c>
      <c r="D38" s="5" t="s">
        <v>323</v>
      </c>
      <c r="E38" s="5" t="s">
        <v>374</v>
      </c>
      <c r="F38" s="26" t="s">
        <v>370</v>
      </c>
    </row>
    <row r="39" customFormat="false" ht="15" hidden="false" customHeight="false" outlineLevel="0" collapsed="false">
      <c r="A39" s="5"/>
      <c r="B39" s="5" t="s">
        <v>375</v>
      </c>
      <c r="C39" s="4" t="s">
        <v>339</v>
      </c>
      <c r="D39" s="5" t="s">
        <v>145</v>
      </c>
      <c r="E39" s="5" t="s">
        <v>376</v>
      </c>
      <c r="F39" s="5"/>
    </row>
    <row r="40" customFormat="false" ht="16.5" hidden="false" customHeight="true" outlineLevel="0" collapsed="false">
      <c r="A40" s="7" t="s">
        <v>377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5"/>
      <c r="B41" s="5" t="s">
        <v>378</v>
      </c>
      <c r="C41" s="4" t="s">
        <v>339</v>
      </c>
      <c r="D41" s="5" t="s">
        <v>379</v>
      </c>
      <c r="E41" s="5" t="s">
        <v>380</v>
      </c>
      <c r="F41" s="5"/>
    </row>
    <row r="42" customFormat="false" ht="15" hidden="false" customHeight="false" outlineLevel="0" collapsed="false">
      <c r="A42" s="5"/>
      <c r="B42" s="5" t="s">
        <v>381</v>
      </c>
      <c r="C42" s="4" t="s">
        <v>339</v>
      </c>
      <c r="D42" s="5" t="s">
        <v>323</v>
      </c>
      <c r="E42" s="5" t="s">
        <v>382</v>
      </c>
      <c r="F42" s="5"/>
    </row>
    <row r="43" customFormat="false" ht="15" hidden="false" customHeight="false" outlineLevel="0" collapsed="false">
      <c r="A43" s="5"/>
      <c r="B43" s="5" t="s">
        <v>383</v>
      </c>
      <c r="C43" s="4" t="s">
        <v>339</v>
      </c>
      <c r="D43" s="5" t="s">
        <v>316</v>
      </c>
      <c r="E43" s="5" t="s">
        <v>384</v>
      </c>
      <c r="F43" s="5"/>
    </row>
    <row r="44" customFormat="false" ht="15" hidden="false" customHeight="false" outlineLevel="0" collapsed="false">
      <c r="A44" s="5"/>
      <c r="B44" s="5" t="s">
        <v>385</v>
      </c>
      <c r="C44" s="4" t="s">
        <v>339</v>
      </c>
      <c r="D44" s="5" t="s">
        <v>346</v>
      </c>
      <c r="E44" s="5" t="s">
        <v>386</v>
      </c>
      <c r="F44" s="5"/>
    </row>
    <row r="45" customFormat="false" ht="15" hidden="false" customHeight="false" outlineLevel="0" collapsed="false">
      <c r="A45" s="5"/>
      <c r="B45" s="5" t="s">
        <v>387</v>
      </c>
      <c r="C45" s="4" t="s">
        <v>339</v>
      </c>
      <c r="D45" s="5" t="s">
        <v>349</v>
      </c>
      <c r="E45" s="5" t="s">
        <v>350</v>
      </c>
      <c r="F45" s="5"/>
    </row>
    <row r="46" customFormat="false" ht="15" hidden="false" customHeight="false" outlineLevel="0" collapsed="false">
      <c r="A46" s="5"/>
      <c r="B46" s="5" t="s">
        <v>388</v>
      </c>
      <c r="C46" s="4" t="s">
        <v>339</v>
      </c>
      <c r="D46" s="5" t="s">
        <v>389</v>
      </c>
      <c r="E46" s="5" t="s">
        <v>152</v>
      </c>
      <c r="F46" s="5"/>
    </row>
    <row r="47" customFormat="false" ht="15" hidden="false" customHeight="false" outlineLevel="0" collapsed="false">
      <c r="A47" s="5"/>
      <c r="B47" s="5" t="s">
        <v>390</v>
      </c>
      <c r="C47" s="4" t="s">
        <v>339</v>
      </c>
      <c r="D47" s="5" t="s">
        <v>145</v>
      </c>
      <c r="E47" s="5" t="s">
        <v>391</v>
      </c>
      <c r="F47" s="5"/>
    </row>
    <row r="48" customFormat="false" ht="15" hidden="false" customHeight="false" outlineLevel="0" collapsed="false">
      <c r="A48" s="5"/>
      <c r="B48" s="5" t="s">
        <v>392</v>
      </c>
      <c r="C48" s="4" t="s">
        <v>339</v>
      </c>
      <c r="D48" s="5" t="s">
        <v>316</v>
      </c>
      <c r="E48" s="5" t="s">
        <v>393</v>
      </c>
      <c r="F48" s="5"/>
    </row>
    <row r="49" customFormat="false" ht="15" hidden="false" customHeight="false" outlineLevel="0" collapsed="false">
      <c r="A49" s="5"/>
      <c r="B49" s="5" t="s">
        <v>394</v>
      </c>
      <c r="C49" s="4" t="s">
        <v>339</v>
      </c>
      <c r="D49" s="5" t="s">
        <v>145</v>
      </c>
      <c r="E49" s="5" t="s">
        <v>395</v>
      </c>
      <c r="F49" s="5"/>
    </row>
    <row r="50" customFormat="false" ht="15" hidden="false" customHeight="false" outlineLevel="0" collapsed="false">
      <c r="A50" s="5"/>
      <c r="B50" s="5" t="s">
        <v>396</v>
      </c>
      <c r="C50" s="4" t="s">
        <v>339</v>
      </c>
      <c r="D50" s="5" t="s">
        <v>397</v>
      </c>
      <c r="E50" s="5" t="s">
        <v>398</v>
      </c>
      <c r="F50" s="5"/>
    </row>
    <row r="51" customFormat="false" ht="16.5" hidden="false" customHeight="true" outlineLevel="0" collapsed="false">
      <c r="A51" s="27" t="s">
        <v>399</v>
      </c>
      <c r="B51" s="27"/>
      <c r="C51" s="27"/>
      <c r="D51" s="27"/>
      <c r="E51" s="27"/>
      <c r="F51" s="27"/>
    </row>
    <row r="52" customFormat="false" ht="15" hidden="false" customHeight="false" outlineLevel="0" collapsed="false">
      <c r="A52" s="5"/>
      <c r="B52" s="5" t="s">
        <v>400</v>
      </c>
      <c r="C52" s="4" t="s">
        <v>339</v>
      </c>
      <c r="D52" s="5" t="s">
        <v>346</v>
      </c>
      <c r="E52" s="5" t="s">
        <v>401</v>
      </c>
      <c r="F52" s="26" t="s">
        <v>402</v>
      </c>
    </row>
    <row r="53" customFormat="false" ht="15" hidden="false" customHeight="false" outlineLevel="0" collapsed="false">
      <c r="A53" s="5"/>
      <c r="B53" s="5" t="s">
        <v>403</v>
      </c>
      <c r="C53" s="4" t="s">
        <v>339</v>
      </c>
      <c r="D53" s="5" t="s">
        <v>306</v>
      </c>
      <c r="E53" s="5" t="s">
        <v>152</v>
      </c>
      <c r="F53" s="26" t="s">
        <v>402</v>
      </c>
    </row>
    <row r="54" customFormat="false" ht="15" hidden="false" customHeight="false" outlineLevel="0" collapsed="false">
      <c r="A54" s="5"/>
      <c r="B54" s="5" t="s">
        <v>404</v>
      </c>
      <c r="C54" s="4" t="s">
        <v>339</v>
      </c>
      <c r="D54" s="5" t="s">
        <v>145</v>
      </c>
      <c r="E54" s="5" t="s">
        <v>405</v>
      </c>
      <c r="F54" s="5"/>
    </row>
    <row r="55" customFormat="false" ht="15" hidden="false" customHeight="false" outlineLevel="0" collapsed="false">
      <c r="A55" s="5"/>
      <c r="B55" s="5" t="s">
        <v>406</v>
      </c>
      <c r="C55" s="4" t="s">
        <v>339</v>
      </c>
      <c r="D55" s="5" t="s">
        <v>346</v>
      </c>
      <c r="E55" s="5" t="s">
        <v>350</v>
      </c>
      <c r="F55" s="5"/>
    </row>
    <row r="56" customFormat="false" ht="15" hidden="false" customHeight="false" outlineLevel="0" collapsed="false">
      <c r="A56" s="5"/>
      <c r="B56" s="5" t="s">
        <v>407</v>
      </c>
      <c r="C56" s="4" t="s">
        <v>339</v>
      </c>
      <c r="D56" s="5" t="s">
        <v>145</v>
      </c>
      <c r="E56" s="5" t="s">
        <v>408</v>
      </c>
      <c r="F56" s="5"/>
    </row>
    <row r="57" customFormat="false" ht="15" hidden="false" customHeight="false" outlineLevel="0" collapsed="false">
      <c r="A57" s="5"/>
      <c r="B57" s="5" t="s">
        <v>409</v>
      </c>
      <c r="C57" s="4" t="s">
        <v>339</v>
      </c>
      <c r="D57" s="5" t="s">
        <v>379</v>
      </c>
      <c r="E57" s="5" t="s">
        <v>410</v>
      </c>
      <c r="F57" s="5"/>
    </row>
    <row r="58" customFormat="false" ht="16.5" hidden="false" customHeight="true" outlineLevel="0" collapsed="false">
      <c r="A58" s="28" t="s">
        <v>411</v>
      </c>
      <c r="B58" s="28"/>
      <c r="C58" s="28"/>
      <c r="D58" s="28"/>
      <c r="E58" s="28"/>
      <c r="F58" s="28"/>
    </row>
    <row r="59" customFormat="false" ht="15" hidden="false" customHeight="false" outlineLevel="0" collapsed="false">
      <c r="A59" s="5"/>
      <c r="B59" s="5" t="s">
        <v>412</v>
      </c>
      <c r="C59" s="4" t="s">
        <v>339</v>
      </c>
      <c r="D59" s="5" t="s">
        <v>413</v>
      </c>
      <c r="E59" s="5" t="s">
        <v>414</v>
      </c>
      <c r="F59" s="5"/>
    </row>
    <row r="60" customFormat="false" ht="15" hidden="false" customHeight="false" outlineLevel="0" collapsed="false">
      <c r="A60" s="5"/>
      <c r="B60" s="5" t="s">
        <v>415</v>
      </c>
      <c r="C60" s="4" t="s">
        <v>339</v>
      </c>
      <c r="D60" s="5" t="s">
        <v>413</v>
      </c>
      <c r="E60" s="5" t="s">
        <v>416</v>
      </c>
      <c r="F60" s="5"/>
    </row>
    <row r="61" customFormat="false" ht="15" hidden="false" customHeight="false" outlineLevel="0" collapsed="false">
      <c r="A61" s="5"/>
      <c r="B61" s="5" t="s">
        <v>417</v>
      </c>
      <c r="C61" s="4" t="s">
        <v>339</v>
      </c>
      <c r="D61" s="5" t="s">
        <v>418</v>
      </c>
      <c r="E61" s="5" t="s">
        <v>419</v>
      </c>
      <c r="F61" s="5"/>
    </row>
    <row r="62" customFormat="false" ht="15" hidden="false" customHeight="false" outlineLevel="0" collapsed="false">
      <c r="A62" s="5"/>
      <c r="B62" s="5" t="s">
        <v>420</v>
      </c>
      <c r="C62" s="4" t="s">
        <v>339</v>
      </c>
      <c r="D62" s="5" t="s">
        <v>421</v>
      </c>
      <c r="E62" s="5" t="s">
        <v>422</v>
      </c>
      <c r="F62" s="5"/>
    </row>
    <row r="63" customFormat="false" ht="15" hidden="false" customHeight="false" outlineLevel="0" collapsed="false">
      <c r="A63" s="5"/>
      <c r="B63" s="5" t="s">
        <v>423</v>
      </c>
      <c r="C63" s="4" t="s">
        <v>339</v>
      </c>
      <c r="D63" s="5" t="s">
        <v>413</v>
      </c>
      <c r="E63" s="5" t="s">
        <v>424</v>
      </c>
      <c r="F63" s="5"/>
    </row>
    <row r="64" customFormat="false" ht="15" hidden="false" customHeight="false" outlineLevel="0" collapsed="false">
      <c r="A64" s="5"/>
      <c r="B64" s="5" t="s">
        <v>425</v>
      </c>
      <c r="C64" s="4" t="s">
        <v>339</v>
      </c>
      <c r="D64" s="5" t="s">
        <v>397</v>
      </c>
      <c r="E64" s="5" t="s">
        <v>426</v>
      </c>
      <c r="F64" s="5"/>
    </row>
    <row r="65" customFormat="false" ht="16.5" hidden="false" customHeight="true" outlineLevel="0" collapsed="false">
      <c r="A65" s="29" t="s">
        <v>427</v>
      </c>
      <c r="B65" s="29"/>
      <c r="C65" s="29"/>
      <c r="D65" s="29"/>
      <c r="E65" s="29"/>
      <c r="F65" s="29"/>
    </row>
    <row r="66" customFormat="false" ht="15" hidden="false" customHeight="false" outlineLevel="0" collapsed="false">
      <c r="A66" s="5"/>
      <c r="B66" s="5" t="s">
        <v>428</v>
      </c>
      <c r="C66" s="4" t="s">
        <v>339</v>
      </c>
      <c r="D66" s="5" t="s">
        <v>429</v>
      </c>
      <c r="E66" s="5" t="s">
        <v>152</v>
      </c>
      <c r="F66" s="5"/>
    </row>
    <row r="67" customFormat="false" ht="15" hidden="false" customHeight="false" outlineLevel="0" collapsed="false">
      <c r="A67" s="5"/>
      <c r="B67" s="5" t="s">
        <v>430</v>
      </c>
      <c r="C67" s="4" t="s">
        <v>339</v>
      </c>
      <c r="D67" s="5" t="s">
        <v>431</v>
      </c>
      <c r="E67" s="5" t="s">
        <v>432</v>
      </c>
      <c r="F67" s="5"/>
    </row>
    <row r="68" customFormat="false" ht="15" hidden="false" customHeight="false" outlineLevel="0" collapsed="false">
      <c r="A68" s="5"/>
      <c r="B68" s="5" t="s">
        <v>433</v>
      </c>
      <c r="C68" s="4" t="s">
        <v>339</v>
      </c>
      <c r="D68" s="5" t="s">
        <v>434</v>
      </c>
      <c r="E68" s="5" t="s">
        <v>435</v>
      </c>
      <c r="F68" s="5"/>
    </row>
    <row r="69" customFormat="false" ht="15" hidden="false" customHeight="false" outlineLevel="0" collapsed="false">
      <c r="A69" s="5"/>
      <c r="B69" s="5" t="s">
        <v>436</v>
      </c>
      <c r="C69" s="4" t="s">
        <v>339</v>
      </c>
      <c r="D69" s="5" t="s">
        <v>349</v>
      </c>
      <c r="E69" s="5" t="s">
        <v>437</v>
      </c>
      <c r="F69" s="5"/>
    </row>
    <row r="70" customFormat="false" ht="15" hidden="false" customHeight="false" outlineLevel="0" collapsed="false">
      <c r="A70" s="5"/>
      <c r="B70" s="5" t="s">
        <v>438</v>
      </c>
      <c r="C70" s="4" t="s">
        <v>339</v>
      </c>
      <c r="D70" s="5" t="s">
        <v>309</v>
      </c>
      <c r="E70" s="5" t="s">
        <v>439</v>
      </c>
      <c r="F70" s="5"/>
    </row>
    <row r="71" customFormat="false" ht="15" hidden="false" customHeight="false" outlineLevel="0" collapsed="false">
      <c r="A71" s="5"/>
      <c r="B71" s="5" t="s">
        <v>440</v>
      </c>
      <c r="C71" s="4" t="s">
        <v>339</v>
      </c>
      <c r="D71" s="5" t="s">
        <v>309</v>
      </c>
      <c r="E71" s="5" t="s">
        <v>441</v>
      </c>
      <c r="F71" s="5"/>
    </row>
    <row r="72" customFormat="false" ht="15" hidden="false" customHeight="false" outlineLevel="0" collapsed="false">
      <c r="A72" s="5"/>
      <c r="B72" s="5" t="s">
        <v>442</v>
      </c>
      <c r="C72" s="4" t="s">
        <v>339</v>
      </c>
      <c r="D72" s="5" t="s">
        <v>443</v>
      </c>
      <c r="E72" s="5" t="s">
        <v>444</v>
      </c>
      <c r="F72" s="5"/>
    </row>
    <row r="73" customFormat="false" ht="15" hidden="false" customHeight="false" outlineLevel="0" collapsed="false">
      <c r="A73" s="5"/>
      <c r="B73" s="5" t="s">
        <v>445</v>
      </c>
      <c r="C73" s="4" t="s">
        <v>339</v>
      </c>
      <c r="D73" s="5" t="s">
        <v>323</v>
      </c>
      <c r="E73" s="5" t="s">
        <v>446</v>
      </c>
      <c r="F73" s="5"/>
    </row>
    <row r="74" customFormat="false" ht="16.5" hidden="false" customHeight="true" outlineLevel="0" collapsed="false">
      <c r="A74" s="3" t="s">
        <v>447</v>
      </c>
      <c r="B74" s="3"/>
      <c r="C74" s="3"/>
      <c r="D74" s="3"/>
      <c r="E74" s="3"/>
      <c r="F74" s="3"/>
    </row>
    <row r="75" customFormat="false" ht="15" hidden="false" customHeight="false" outlineLevel="0" collapsed="false">
      <c r="A75" s="5"/>
      <c r="B75" s="5" t="s">
        <v>448</v>
      </c>
      <c r="C75" s="4" t="s">
        <v>339</v>
      </c>
      <c r="D75" s="5" t="s">
        <v>306</v>
      </c>
      <c r="E75" s="5" t="s">
        <v>152</v>
      </c>
      <c r="F75" s="5"/>
    </row>
    <row r="76" customFormat="false" ht="15" hidden="false" customHeight="false" outlineLevel="0" collapsed="false">
      <c r="A76" s="5"/>
      <c r="B76" s="5" t="s">
        <v>449</v>
      </c>
      <c r="C76" s="4" t="s">
        <v>339</v>
      </c>
      <c r="D76" s="5" t="s">
        <v>413</v>
      </c>
      <c r="E76" s="5" t="s">
        <v>450</v>
      </c>
      <c r="F76" s="5"/>
    </row>
    <row r="77" customFormat="false" ht="15" hidden="false" customHeight="false" outlineLevel="0" collapsed="false">
      <c r="A77" s="5"/>
      <c r="B77" s="5" t="s">
        <v>451</v>
      </c>
      <c r="C77" s="4" t="s">
        <v>339</v>
      </c>
      <c r="D77" s="5" t="s">
        <v>316</v>
      </c>
      <c r="E77" s="5" t="s">
        <v>452</v>
      </c>
      <c r="F77" s="5"/>
    </row>
    <row r="78" customFormat="false" ht="16.5" hidden="false" customHeight="true" outlineLevel="0" collapsed="false">
      <c r="A78" s="30" t="s">
        <v>453</v>
      </c>
      <c r="B78" s="30"/>
      <c r="C78" s="30"/>
      <c r="D78" s="30"/>
      <c r="E78" s="30"/>
      <c r="F78" s="30"/>
    </row>
    <row r="79" customFormat="false" ht="15" hidden="false" customHeight="false" outlineLevel="0" collapsed="false">
      <c r="A79" s="5"/>
      <c r="B79" s="5" t="s">
        <v>454</v>
      </c>
      <c r="C79" s="4" t="s">
        <v>339</v>
      </c>
      <c r="D79" s="5" t="s">
        <v>323</v>
      </c>
      <c r="E79" s="5" t="s">
        <v>455</v>
      </c>
      <c r="F79" s="5"/>
    </row>
    <row r="80" customFormat="false" ht="15" hidden="false" customHeight="false" outlineLevel="0" collapsed="false">
      <c r="A80" s="5"/>
      <c r="B80" s="5" t="s">
        <v>456</v>
      </c>
      <c r="C80" s="4" t="s">
        <v>339</v>
      </c>
      <c r="D80" s="5" t="s">
        <v>145</v>
      </c>
      <c r="E80" s="5" t="s">
        <v>457</v>
      </c>
      <c r="F80" s="5"/>
    </row>
    <row r="81" customFormat="false" ht="15" hidden="false" customHeight="false" outlineLevel="0" collapsed="false">
      <c r="A81" s="5"/>
      <c r="B81" s="5" t="s">
        <v>458</v>
      </c>
      <c r="C81" s="4" t="s">
        <v>339</v>
      </c>
      <c r="D81" s="5" t="s">
        <v>323</v>
      </c>
      <c r="E81" s="5" t="s">
        <v>459</v>
      </c>
      <c r="F81" s="5"/>
    </row>
  </sheetData>
  <autoFilter ref="A3:F81"/>
  <mergeCells count="13">
    <mergeCell ref="A1:F1"/>
    <mergeCell ref="A2:F2"/>
    <mergeCell ref="A4:F4"/>
    <mergeCell ref="A17:F17"/>
    <mergeCell ref="A23:F23"/>
    <mergeCell ref="A29:F29"/>
    <mergeCell ref="A35:F35"/>
    <mergeCell ref="A40:F40"/>
    <mergeCell ref="A51:F51"/>
    <mergeCell ref="A58:F58"/>
    <mergeCell ref="A65:F65"/>
    <mergeCell ref="A74:F74"/>
    <mergeCell ref="A78:F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24" hidden="false" customHeight="true" outlineLevel="0" collapsed="false">
      <c r="A1" s="24" t="s">
        <v>460</v>
      </c>
      <c r="B1" s="24"/>
      <c r="C1" s="24"/>
      <c r="D1" s="24"/>
      <c r="E1" s="24"/>
      <c r="F1" s="24"/>
      <c r="G1" s="24"/>
      <c r="H1" s="24"/>
    </row>
    <row r="2" customFormat="false" ht="30" hidden="false" customHeight="true" outlineLevel="0" collapsed="false">
      <c r="A2" s="19" t="s">
        <v>461</v>
      </c>
      <c r="B2" s="19"/>
      <c r="C2" s="19"/>
      <c r="D2" s="19"/>
      <c r="E2" s="19"/>
      <c r="F2" s="19"/>
      <c r="G2" s="19"/>
      <c r="H2" s="19"/>
    </row>
    <row r="3" customFormat="false" ht="21.75" hidden="false" customHeight="true" outlineLevel="0" collapsed="false">
      <c r="A3" s="2" t="s">
        <v>462</v>
      </c>
      <c r="B3" s="2" t="s">
        <v>463</v>
      </c>
      <c r="C3" s="2" t="s">
        <v>464</v>
      </c>
      <c r="D3" s="2" t="s">
        <v>465</v>
      </c>
      <c r="E3" s="2" t="s">
        <v>466</v>
      </c>
      <c r="F3" s="2" t="s">
        <v>467</v>
      </c>
      <c r="G3" s="2" t="s">
        <v>468</v>
      </c>
      <c r="H3" s="2" t="s">
        <v>469</v>
      </c>
    </row>
    <row r="4" customFormat="false" ht="15" hidden="false" customHeight="false" outlineLevel="0" collapsed="false">
      <c r="A4" s="31" t="s">
        <v>470</v>
      </c>
      <c r="B4" s="31" t="s">
        <v>471</v>
      </c>
      <c r="C4" s="31" t="s">
        <v>472</v>
      </c>
      <c r="D4" s="31" t="s">
        <v>101</v>
      </c>
      <c r="E4" s="31" t="s">
        <v>473</v>
      </c>
      <c r="F4" s="31" t="s">
        <v>474</v>
      </c>
      <c r="G4" s="31" t="s">
        <v>475</v>
      </c>
      <c r="H4" s="32" t="n">
        <v>10000</v>
      </c>
    </row>
    <row r="5" customFormat="false" ht="15" hidden="false" customHeight="false" outlineLevel="0" collapsed="false">
      <c r="A5" s="31" t="s">
        <v>476</v>
      </c>
      <c r="B5" s="31" t="s">
        <v>471</v>
      </c>
      <c r="C5" s="31" t="s">
        <v>472</v>
      </c>
      <c r="D5" s="31" t="s">
        <v>135</v>
      </c>
      <c r="E5" s="31" t="s">
        <v>477</v>
      </c>
      <c r="F5" s="31" t="s">
        <v>478</v>
      </c>
      <c r="G5" s="31" t="s">
        <v>479</v>
      </c>
      <c r="H5" s="32" t="n">
        <v>10500</v>
      </c>
    </row>
    <row r="6" customFormat="false" ht="15" hidden="false" customHeight="false" outlineLevel="0" collapsed="false">
      <c r="A6" s="31" t="s">
        <v>480</v>
      </c>
      <c r="B6" s="31" t="s">
        <v>471</v>
      </c>
      <c r="C6" s="31" t="s">
        <v>472</v>
      </c>
      <c r="D6" s="31" t="s">
        <v>481</v>
      </c>
      <c r="E6" s="31" t="s">
        <v>482</v>
      </c>
      <c r="F6" s="31" t="s">
        <v>483</v>
      </c>
      <c r="G6" s="31" t="s">
        <v>484</v>
      </c>
      <c r="H6" s="32" t="n">
        <v>11000</v>
      </c>
    </row>
    <row r="7" customFormat="false" ht="15" hidden="false" customHeight="false" outlineLevel="0" collapsed="false">
      <c r="A7" s="31" t="s">
        <v>485</v>
      </c>
      <c r="B7" s="31" t="s">
        <v>486</v>
      </c>
      <c r="C7" s="31" t="s">
        <v>487</v>
      </c>
      <c r="D7" s="31" t="s">
        <v>101</v>
      </c>
      <c r="E7" s="31" t="s">
        <v>488</v>
      </c>
      <c r="F7" s="31" t="s">
        <v>61</v>
      </c>
      <c r="G7" s="31" t="s">
        <v>489</v>
      </c>
      <c r="H7" s="32" t="n">
        <v>900</v>
      </c>
    </row>
    <row r="8" customFormat="false" ht="15" hidden="false" customHeight="false" outlineLevel="0" collapsed="false">
      <c r="A8" s="31" t="s">
        <v>490</v>
      </c>
      <c r="B8" s="31" t="s">
        <v>486</v>
      </c>
      <c r="C8" s="31" t="s">
        <v>487</v>
      </c>
      <c r="D8" s="31" t="s">
        <v>135</v>
      </c>
      <c r="E8" s="31" t="s">
        <v>491</v>
      </c>
      <c r="F8" s="31" t="s">
        <v>492</v>
      </c>
      <c r="G8" s="31" t="s">
        <v>493</v>
      </c>
      <c r="H8" s="32" t="n">
        <v>900</v>
      </c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3"/>
      <c r="H9" s="33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3"/>
      <c r="H10" s="33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3"/>
      <c r="H11" s="33"/>
    </row>
  </sheetData>
  <autoFilter ref="A3:H11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44"/>
  </cols>
  <sheetData>
    <row r="1" customFormat="false" ht="24" hidden="false" customHeight="true" outlineLevel="0" collapsed="false">
      <c r="A1" s="24" t="s">
        <v>494</v>
      </c>
      <c r="B1" s="24"/>
      <c r="C1" s="24"/>
    </row>
    <row r="2" customFormat="false" ht="15" hidden="false" customHeight="false" outlineLevel="0" collapsed="false">
      <c r="A2" s="2" t="s">
        <v>495</v>
      </c>
      <c r="B2" s="2" t="s">
        <v>496</v>
      </c>
      <c r="C2" s="2" t="s">
        <v>497</v>
      </c>
    </row>
    <row r="3" customFormat="false" ht="15" hidden="false" customHeight="false" outlineLevel="0" collapsed="false">
      <c r="A3" s="6" t="s">
        <v>143</v>
      </c>
      <c r="B3" s="5" t="s">
        <v>309</v>
      </c>
      <c r="C3" s="22" t="s">
        <v>498</v>
      </c>
    </row>
    <row r="4" customFormat="false" ht="15" hidden="false" customHeight="false" outlineLevel="0" collapsed="false">
      <c r="A4" s="5"/>
      <c r="B4" s="5" t="s">
        <v>306</v>
      </c>
      <c r="C4" s="22" t="s">
        <v>499</v>
      </c>
    </row>
    <row r="5" customFormat="false" ht="15" hidden="false" customHeight="false" outlineLevel="0" collapsed="false">
      <c r="A5" s="5"/>
      <c r="B5" s="5" t="s">
        <v>145</v>
      </c>
      <c r="C5" s="22" t="s">
        <v>500</v>
      </c>
    </row>
    <row r="6" customFormat="false" ht="15" hidden="false" customHeight="false" outlineLevel="0" collapsed="false">
      <c r="A6" s="5"/>
      <c r="B6" s="5" t="s">
        <v>349</v>
      </c>
      <c r="C6" s="22" t="s">
        <v>501</v>
      </c>
    </row>
    <row r="7" customFormat="false" ht="15" hidden="false" customHeight="false" outlineLevel="0" collapsed="false">
      <c r="A7" s="5"/>
      <c r="B7" s="5" t="s">
        <v>502</v>
      </c>
      <c r="C7" s="22" t="s">
        <v>503</v>
      </c>
    </row>
    <row r="8" customFormat="false" ht="15" hidden="false" customHeight="false" outlineLevel="0" collapsed="false">
      <c r="A8" s="5"/>
      <c r="B8" s="5" t="s">
        <v>504</v>
      </c>
      <c r="C8" s="22" t="s">
        <v>505</v>
      </c>
    </row>
    <row r="9" customFormat="false" ht="15" hidden="false" customHeight="false" outlineLevel="0" collapsed="false">
      <c r="A9" s="5"/>
      <c r="B9" s="5" t="s">
        <v>413</v>
      </c>
      <c r="C9" s="22" t="s">
        <v>506</v>
      </c>
    </row>
    <row r="10" customFormat="false" ht="15" hidden="false" customHeight="false" outlineLevel="0" collapsed="false">
      <c r="A10" s="5"/>
      <c r="B10" s="5" t="s">
        <v>507</v>
      </c>
      <c r="C10" s="22" t="s">
        <v>508</v>
      </c>
    </row>
    <row r="11" customFormat="false" ht="15" hidden="false" customHeight="false" outlineLevel="0" collapsed="false">
      <c r="A11" s="5"/>
      <c r="B11" s="5" t="s">
        <v>509</v>
      </c>
      <c r="C11" s="22" t="s">
        <v>510</v>
      </c>
    </row>
    <row r="12" customFormat="false" ht="15" hidden="false" customHeight="false" outlineLevel="0" collapsed="false">
      <c r="A12" s="5"/>
      <c r="B12" s="5" t="s">
        <v>511</v>
      </c>
      <c r="C12" s="22" t="s">
        <v>512</v>
      </c>
    </row>
    <row r="13" customFormat="false" ht="15" hidden="false" customHeight="false" outlineLevel="0" collapsed="false">
      <c r="A13" s="5"/>
      <c r="B13" s="5" t="s">
        <v>513</v>
      </c>
      <c r="C13" s="22" t="s">
        <v>514</v>
      </c>
    </row>
    <row r="14" customFormat="false" ht="15" hidden="false" customHeight="false" outlineLevel="0" collapsed="false">
      <c r="A14" s="6" t="s">
        <v>150</v>
      </c>
      <c r="B14" s="5" t="s">
        <v>267</v>
      </c>
      <c r="C14" s="22" t="s">
        <v>515</v>
      </c>
    </row>
    <row r="15" customFormat="false" ht="15" hidden="false" customHeight="false" outlineLevel="0" collapsed="false">
      <c r="A15" s="5"/>
      <c r="B15" s="5" t="s">
        <v>361</v>
      </c>
      <c r="C15" s="22"/>
    </row>
    <row r="16" customFormat="false" ht="15" hidden="false" customHeight="false" outlineLevel="0" collapsed="false">
      <c r="A16" s="5"/>
      <c r="B16" s="5" t="s">
        <v>516</v>
      </c>
      <c r="C16" s="22"/>
    </row>
    <row r="17" customFormat="false" ht="15" hidden="false" customHeight="false" outlineLevel="0" collapsed="false">
      <c r="A17" s="5"/>
      <c r="B17" s="5" t="s">
        <v>152</v>
      </c>
      <c r="C17" s="22"/>
    </row>
    <row r="18" customFormat="false" ht="15" hidden="false" customHeight="false" outlineLevel="0" collapsed="false">
      <c r="A18" s="5"/>
      <c r="B18" s="5" t="s">
        <v>517</v>
      </c>
      <c r="C18" s="22"/>
    </row>
    <row r="19" customFormat="false" ht="15" hidden="false" customHeight="false" outlineLevel="0" collapsed="false">
      <c r="A19" s="5"/>
      <c r="B19" s="5" t="s">
        <v>326</v>
      </c>
      <c r="C19" s="22"/>
    </row>
    <row r="20" customFormat="false" ht="15" hidden="false" customHeight="false" outlineLevel="0" collapsed="false">
      <c r="A20" s="5"/>
      <c r="B20" s="5" t="s">
        <v>518</v>
      </c>
      <c r="C20" s="22"/>
    </row>
    <row r="21" customFormat="false" ht="15" hidden="false" customHeight="false" outlineLevel="0" collapsed="false">
      <c r="A21" s="5"/>
      <c r="B21" s="5" t="s">
        <v>519</v>
      </c>
      <c r="C21" s="22" t="s">
        <v>520</v>
      </c>
    </row>
    <row r="22" customFormat="false" ht="15" hidden="false" customHeight="false" outlineLevel="0" collapsed="false">
      <c r="A22" s="5"/>
      <c r="B22" s="5" t="s">
        <v>521</v>
      </c>
      <c r="C22" s="22" t="s">
        <v>302</v>
      </c>
    </row>
    <row r="23" customFormat="false" ht="15" hidden="false" customHeight="false" outlineLevel="0" collapsed="false">
      <c r="A23" s="5"/>
      <c r="B23" s="5" t="s">
        <v>329</v>
      </c>
      <c r="C23" s="22" t="s">
        <v>522</v>
      </c>
    </row>
    <row r="24" customFormat="false" ht="15" hidden="false" customHeight="false" outlineLevel="0" collapsed="false">
      <c r="A24" s="5"/>
      <c r="B24" s="5" t="s">
        <v>523</v>
      </c>
      <c r="C24" s="22" t="s">
        <v>524</v>
      </c>
    </row>
    <row r="25" customFormat="false" ht="15" hidden="false" customHeight="false" outlineLevel="0" collapsed="false">
      <c r="A25" s="5"/>
      <c r="B25" s="5" t="s">
        <v>525</v>
      </c>
      <c r="C25" s="22" t="s">
        <v>526</v>
      </c>
    </row>
    <row r="26" customFormat="false" ht="15" hidden="false" customHeight="false" outlineLevel="0" collapsed="false">
      <c r="A26" s="5"/>
      <c r="B26" s="5" t="s">
        <v>527</v>
      </c>
      <c r="C26" s="22" t="s">
        <v>528</v>
      </c>
    </row>
    <row r="27" customFormat="false" ht="15" hidden="false" customHeight="false" outlineLevel="0" collapsed="false">
      <c r="A27" s="5"/>
      <c r="B27" s="5" t="s">
        <v>529</v>
      </c>
      <c r="C27" s="22" t="s">
        <v>530</v>
      </c>
    </row>
    <row r="28" customFormat="false" ht="15" hidden="false" customHeight="false" outlineLevel="0" collapsed="false">
      <c r="A28" s="5"/>
      <c r="B28" s="5" t="s">
        <v>531</v>
      </c>
      <c r="C28" s="22" t="s">
        <v>532</v>
      </c>
    </row>
    <row r="29" customFormat="false" ht="15" hidden="false" customHeight="false" outlineLevel="0" collapsed="false">
      <c r="A29" s="5"/>
      <c r="B29" s="5" t="s">
        <v>533</v>
      </c>
      <c r="C29" s="22" t="s">
        <v>534</v>
      </c>
    </row>
    <row r="30" customFormat="false" ht="15" hidden="false" customHeight="false" outlineLevel="0" collapsed="false">
      <c r="A30" s="5"/>
      <c r="B30" s="5" t="s">
        <v>535</v>
      </c>
      <c r="C30" s="22" t="s">
        <v>536</v>
      </c>
    </row>
    <row r="31" customFormat="false" ht="15" hidden="false" customHeight="false" outlineLevel="0" collapsed="false">
      <c r="A31" s="5"/>
      <c r="B31" s="5" t="s">
        <v>537</v>
      </c>
      <c r="C31" s="22" t="s">
        <v>538</v>
      </c>
    </row>
    <row r="32" customFormat="false" ht="15" hidden="false" customHeight="false" outlineLevel="0" collapsed="false">
      <c r="A32" s="5"/>
      <c r="B32" s="5" t="s">
        <v>539</v>
      </c>
      <c r="C32" s="22" t="s">
        <v>540</v>
      </c>
    </row>
    <row r="33" customFormat="false" ht="15" hidden="false" customHeight="false" outlineLevel="0" collapsed="false">
      <c r="A33" s="6" t="s">
        <v>541</v>
      </c>
      <c r="B33" s="5" t="s">
        <v>542</v>
      </c>
      <c r="C33" s="22" t="s">
        <v>543</v>
      </c>
    </row>
    <row r="34" customFormat="false" ht="15" hidden="false" customHeight="false" outlineLevel="0" collapsed="false">
      <c r="A34" s="5"/>
      <c r="B34" s="5" t="s">
        <v>544</v>
      </c>
      <c r="C34" s="22" t="s">
        <v>545</v>
      </c>
    </row>
    <row r="35" customFormat="false" ht="15" hidden="false" customHeight="false" outlineLevel="0" collapsed="false">
      <c r="A35" s="5"/>
      <c r="B35" s="5" t="s">
        <v>546</v>
      </c>
      <c r="C35" s="22" t="s">
        <v>547</v>
      </c>
    </row>
    <row r="36" customFormat="false" ht="15" hidden="false" customHeight="false" outlineLevel="0" collapsed="false">
      <c r="A36" s="6" t="s">
        <v>548</v>
      </c>
      <c r="B36" s="5" t="s">
        <v>302</v>
      </c>
      <c r="C36" s="22"/>
    </row>
    <row r="37" customFormat="false" ht="15" hidden="false" customHeight="false" outlineLevel="0" collapsed="false">
      <c r="A37" s="5"/>
      <c r="B37" s="5" t="s">
        <v>339</v>
      </c>
      <c r="C37" s="22"/>
    </row>
    <row r="38" customFormat="false" ht="15" hidden="false" customHeight="false" outlineLevel="0" collapsed="false">
      <c r="A38" s="6" t="s">
        <v>549</v>
      </c>
      <c r="B38" s="5" t="s">
        <v>550</v>
      </c>
      <c r="C38" s="22" t="s">
        <v>551</v>
      </c>
    </row>
    <row r="39" customFormat="false" ht="15" hidden="false" customHeight="false" outlineLevel="0" collapsed="false">
      <c r="A39" s="5"/>
      <c r="B39" s="5" t="s">
        <v>504</v>
      </c>
      <c r="C39" s="22"/>
    </row>
    <row r="40" customFormat="false" ht="15" hidden="false" customHeight="false" outlineLevel="0" collapsed="false">
      <c r="A40" s="5"/>
      <c r="B40" s="5" t="s">
        <v>552</v>
      </c>
      <c r="C40" s="22"/>
    </row>
    <row r="41" customFormat="false" ht="15" hidden="false" customHeight="false" outlineLevel="0" collapsed="false">
      <c r="A41" s="5"/>
      <c r="B41" s="5" t="s">
        <v>553</v>
      </c>
      <c r="C41" s="22"/>
    </row>
    <row r="42" customFormat="false" ht="15" hidden="false" customHeight="false" outlineLevel="0" collapsed="false">
      <c r="A42" s="6" t="s">
        <v>75</v>
      </c>
      <c r="B42" s="5" t="s">
        <v>78</v>
      </c>
      <c r="C42" s="22"/>
    </row>
    <row r="43" customFormat="false" ht="15" hidden="false" customHeight="false" outlineLevel="0" collapsed="false">
      <c r="A43" s="5"/>
      <c r="B43" s="5" t="s">
        <v>554</v>
      </c>
      <c r="C43" s="22"/>
    </row>
  </sheetData>
  <autoFilter ref="A2:C43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7" min="1" style="0" width="18"/>
  </cols>
  <sheetData>
    <row r="1" customFormat="false" ht="24" hidden="false" customHeight="true" outlineLevel="0" collapsed="false">
      <c r="A1" s="24" t="s">
        <v>555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</row>
    <row r="2" customFormat="false" ht="33.75" hidden="false" customHeight="true" outlineLevel="0" collapsed="false">
      <c r="A2" s="2" t="s">
        <v>10</v>
      </c>
      <c r="B2" s="2" t="s">
        <v>16</v>
      </c>
      <c r="C2" s="2" t="s">
        <v>21</v>
      </c>
      <c r="D2" s="2" t="s">
        <v>26</v>
      </c>
      <c r="E2" s="2" t="s">
        <v>31</v>
      </c>
      <c r="F2" s="2" t="s">
        <v>34</v>
      </c>
      <c r="G2" s="2" t="s">
        <v>37</v>
      </c>
      <c r="H2" s="2" t="s">
        <v>40</v>
      </c>
      <c r="I2" s="2" t="s">
        <v>43</v>
      </c>
      <c r="J2" s="2" t="s">
        <v>46</v>
      </c>
      <c r="K2" s="2" t="s">
        <v>50</v>
      </c>
      <c r="L2" s="2" t="s">
        <v>53</v>
      </c>
      <c r="M2" s="2" t="s">
        <v>56</v>
      </c>
      <c r="N2" s="2" t="s">
        <v>59</v>
      </c>
      <c r="O2" s="2" t="s">
        <v>62</v>
      </c>
      <c r="P2" s="2" t="s">
        <v>65</v>
      </c>
      <c r="Q2" s="2" t="s">
        <v>69</v>
      </c>
      <c r="R2" s="2" t="s">
        <v>72</v>
      </c>
      <c r="S2" s="2" t="s">
        <v>75</v>
      </c>
      <c r="T2" s="34" t="s">
        <v>80</v>
      </c>
      <c r="U2" s="34" t="s">
        <v>83</v>
      </c>
      <c r="V2" s="2" t="s">
        <v>88</v>
      </c>
      <c r="W2" s="2" t="s">
        <v>91</v>
      </c>
      <c r="X2" s="2" t="s">
        <v>94</v>
      </c>
      <c r="Y2" s="2" t="s">
        <v>98</v>
      </c>
      <c r="Z2" s="2" t="s">
        <v>102</v>
      </c>
      <c r="AA2" s="2" t="s">
        <v>105</v>
      </c>
      <c r="AB2" s="2" t="s">
        <v>108</v>
      </c>
      <c r="AC2" s="2" t="s">
        <v>111</v>
      </c>
      <c r="AD2" s="2" t="s">
        <v>114</v>
      </c>
      <c r="AE2" s="2" t="s">
        <v>117</v>
      </c>
      <c r="AF2" s="2" t="s">
        <v>120</v>
      </c>
      <c r="AG2" s="2" t="s">
        <v>124</v>
      </c>
      <c r="AH2" s="2" t="s">
        <v>127</v>
      </c>
      <c r="AI2" s="2" t="s">
        <v>130</v>
      </c>
      <c r="AJ2" s="2" t="s">
        <v>133</v>
      </c>
      <c r="AK2" s="2" t="s">
        <v>136</v>
      </c>
      <c r="AL2" s="2" t="s">
        <v>139</v>
      </c>
      <c r="AM2" s="2" t="s">
        <v>143</v>
      </c>
      <c r="AN2" s="2" t="s">
        <v>146</v>
      </c>
      <c r="AO2" s="2" t="s">
        <v>150</v>
      </c>
      <c r="AP2" s="34" t="s">
        <v>153</v>
      </c>
      <c r="AQ2" s="34" t="s">
        <v>157</v>
      </c>
      <c r="AR2" s="2" t="s">
        <v>160</v>
      </c>
      <c r="AS2" s="2" t="s">
        <v>163</v>
      </c>
      <c r="AT2" s="2" t="s">
        <v>166</v>
      </c>
      <c r="AU2" s="2" t="s">
        <v>169</v>
      </c>
      <c r="AV2" s="34" t="s">
        <v>172</v>
      </c>
      <c r="AW2" s="34" t="s">
        <v>175</v>
      </c>
      <c r="AX2" s="34" t="s">
        <v>178</v>
      </c>
      <c r="AY2" s="2" t="s">
        <v>181</v>
      </c>
      <c r="AZ2" s="2" t="s">
        <v>184</v>
      </c>
      <c r="BA2" s="2" t="s">
        <v>187</v>
      </c>
      <c r="BB2" s="2" t="s">
        <v>190</v>
      </c>
      <c r="BC2" s="2" t="s">
        <v>194</v>
      </c>
      <c r="BD2" s="2" t="s">
        <v>197</v>
      </c>
      <c r="BE2" s="2" t="s">
        <v>200</v>
      </c>
    </row>
    <row r="3" customFormat="false" ht="23.85" hidden="false" customHeight="false" outlineLevel="0" collapsed="false">
      <c r="A3" s="31" t="s">
        <v>556</v>
      </c>
      <c r="B3" s="31" t="s">
        <v>206</v>
      </c>
      <c r="C3" s="31"/>
      <c r="D3" s="31"/>
      <c r="E3" s="31"/>
      <c r="F3" s="31"/>
      <c r="G3" s="31" t="s">
        <v>557</v>
      </c>
      <c r="H3" s="31"/>
      <c r="I3" s="31"/>
      <c r="J3" s="31"/>
      <c r="K3" s="31" t="s">
        <v>357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 t="s">
        <v>90</v>
      </c>
      <c r="W3" s="31"/>
      <c r="X3" s="31" t="s">
        <v>96</v>
      </c>
      <c r="Y3" s="31" t="n">
        <v>1</v>
      </c>
      <c r="Z3" s="31" t="s">
        <v>558</v>
      </c>
      <c r="AA3" s="31" t="s">
        <v>559</v>
      </c>
      <c r="AB3" s="31" t="s">
        <v>110</v>
      </c>
      <c r="AC3" s="31" t="s">
        <v>113</v>
      </c>
      <c r="AD3" s="31"/>
      <c r="AE3" s="31"/>
      <c r="AF3" s="31"/>
      <c r="AG3" s="31" t="n">
        <v>50</v>
      </c>
      <c r="AH3" s="31" t="s">
        <v>560</v>
      </c>
      <c r="AI3" s="31" t="s">
        <v>132</v>
      </c>
      <c r="AJ3" s="31" t="n">
        <v>2</v>
      </c>
      <c r="AK3" s="31" t="s">
        <v>561</v>
      </c>
      <c r="AL3" s="31"/>
      <c r="AM3" s="31" t="s">
        <v>309</v>
      </c>
      <c r="AN3" s="31" t="n">
        <v>0.85</v>
      </c>
      <c r="AO3" s="31" t="s">
        <v>267</v>
      </c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 t="n">
        <v>425</v>
      </c>
      <c r="BA3" s="31"/>
      <c r="BB3" s="31" t="s">
        <v>192</v>
      </c>
      <c r="BC3" s="31"/>
      <c r="BD3" s="31"/>
      <c r="BE3" s="31"/>
    </row>
    <row r="4" customFormat="false" ht="23.85" hidden="false" customHeight="false" outlineLevel="0" collapsed="false">
      <c r="A4" s="31" t="s">
        <v>471</v>
      </c>
      <c r="B4" s="31" t="s">
        <v>207</v>
      </c>
      <c r="C4" s="31"/>
      <c r="D4" s="31"/>
      <c r="E4" s="31" t="s">
        <v>33</v>
      </c>
      <c r="F4" s="31" t="s">
        <v>36</v>
      </c>
      <c r="G4" s="31" t="s">
        <v>562</v>
      </c>
      <c r="H4" s="31" t="s">
        <v>42</v>
      </c>
      <c r="I4" s="31"/>
      <c r="J4" s="31"/>
      <c r="K4" s="31" t="s">
        <v>368</v>
      </c>
      <c r="L4" s="31"/>
      <c r="M4" s="31"/>
      <c r="N4" s="31"/>
      <c r="O4" s="31"/>
      <c r="P4" s="31"/>
      <c r="Q4" s="31"/>
      <c r="R4" s="31"/>
      <c r="S4" s="31" t="s">
        <v>78</v>
      </c>
      <c r="T4" s="31"/>
      <c r="U4" s="31"/>
      <c r="V4" s="31"/>
      <c r="W4" s="31"/>
      <c r="X4" s="31"/>
      <c r="Y4" s="31" t="n">
        <v>1</v>
      </c>
      <c r="Z4" s="31" t="s">
        <v>245</v>
      </c>
      <c r="AA4" s="31" t="s">
        <v>563</v>
      </c>
      <c r="AB4" s="31"/>
      <c r="AC4" s="31"/>
      <c r="AD4" s="31"/>
      <c r="AE4" s="31"/>
      <c r="AF4" s="31"/>
      <c r="AG4" s="31"/>
      <c r="AH4" s="31" t="s">
        <v>564</v>
      </c>
      <c r="AI4" s="31"/>
      <c r="AJ4" s="31"/>
      <c r="AK4" s="31"/>
      <c r="AL4" s="31"/>
      <c r="AM4" s="31" t="s">
        <v>502</v>
      </c>
      <c r="AN4" s="31"/>
      <c r="AO4" s="31"/>
      <c r="AP4" s="31"/>
      <c r="AQ4" s="31"/>
      <c r="AR4" s="31"/>
      <c r="AS4" s="31"/>
      <c r="AT4" s="31"/>
      <c r="AU4" s="31"/>
      <c r="AV4" s="31" t="n">
        <v>0.05</v>
      </c>
      <c r="AW4" s="31"/>
      <c r="AX4" s="31"/>
      <c r="AY4" s="31"/>
      <c r="AZ4" s="31"/>
      <c r="BA4" s="31" t="n">
        <v>31500</v>
      </c>
      <c r="BB4" s="31" t="s">
        <v>192</v>
      </c>
      <c r="BC4" s="31"/>
      <c r="BD4" s="31" t="s">
        <v>565</v>
      </c>
      <c r="BE4" s="31"/>
    </row>
    <row r="5" customFormat="false" ht="23.85" hidden="false" customHeight="false" outlineLevel="0" collapsed="false">
      <c r="A5" s="31" t="s">
        <v>486</v>
      </c>
      <c r="B5" s="31" t="s">
        <v>20</v>
      </c>
      <c r="C5" s="31"/>
      <c r="D5" s="31"/>
      <c r="E5" s="31" t="s">
        <v>566</v>
      </c>
      <c r="F5" s="31"/>
      <c r="G5" s="31" t="s">
        <v>39</v>
      </c>
      <c r="H5" s="31"/>
      <c r="I5" s="31"/>
      <c r="J5" s="31"/>
      <c r="K5" s="31" t="s">
        <v>342</v>
      </c>
      <c r="L5" s="31"/>
      <c r="M5" s="31"/>
      <c r="N5" s="31" t="s">
        <v>61</v>
      </c>
      <c r="O5" s="31"/>
      <c r="P5" s="31"/>
      <c r="Q5" s="31"/>
      <c r="R5" s="31"/>
      <c r="S5" s="31"/>
      <c r="T5" s="31"/>
      <c r="U5" s="31"/>
      <c r="V5" s="31" t="s">
        <v>567</v>
      </c>
      <c r="W5" s="31" t="s">
        <v>93</v>
      </c>
      <c r="X5" s="31"/>
      <c r="Y5" s="31" t="n">
        <v>1</v>
      </c>
      <c r="Z5" s="31" t="s">
        <v>104</v>
      </c>
      <c r="AA5" s="31" t="s">
        <v>107</v>
      </c>
      <c r="AB5" s="31"/>
      <c r="AC5" s="31"/>
      <c r="AD5" s="31" t="s">
        <v>116</v>
      </c>
      <c r="AE5" s="31" t="s">
        <v>119</v>
      </c>
      <c r="AF5" s="31" t="s">
        <v>122</v>
      </c>
      <c r="AG5" s="31" t="n">
        <v>10</v>
      </c>
      <c r="AH5" s="31" t="s">
        <v>568</v>
      </c>
      <c r="AI5" s="31"/>
      <c r="AJ5" s="31"/>
      <c r="AK5" s="31"/>
      <c r="AL5" s="31" t="n">
        <v>4</v>
      </c>
      <c r="AM5" s="31" t="s">
        <v>145</v>
      </c>
      <c r="AN5" s="31" t="n">
        <v>90</v>
      </c>
      <c r="AO5" s="31" t="s">
        <v>269</v>
      </c>
      <c r="AP5" s="31"/>
      <c r="AQ5" s="31"/>
      <c r="AR5" s="31"/>
      <c r="AS5" s="31"/>
      <c r="AT5" s="31" t="n">
        <v>900</v>
      </c>
      <c r="AU5" s="31" t="n">
        <v>10800</v>
      </c>
      <c r="AV5" s="31"/>
      <c r="AW5" s="31"/>
      <c r="AX5" s="31"/>
      <c r="AY5" s="31" t="n">
        <v>12</v>
      </c>
      <c r="AZ5" s="31" t="n">
        <v>900</v>
      </c>
      <c r="BA5" s="31" t="n">
        <v>10800</v>
      </c>
      <c r="BB5" s="31" t="s">
        <v>192</v>
      </c>
      <c r="BC5" s="31" t="s">
        <v>196</v>
      </c>
      <c r="BD5" s="31" t="s">
        <v>569</v>
      </c>
      <c r="BE5" s="31" t="s">
        <v>202</v>
      </c>
    </row>
    <row r="6" customFormat="false" ht="35.05" hidden="false" customHeight="false" outlineLevel="0" collapsed="false">
      <c r="A6" s="31" t="s">
        <v>570</v>
      </c>
      <c r="B6" s="31" t="s">
        <v>208</v>
      </c>
      <c r="C6" s="31"/>
      <c r="D6" s="31"/>
      <c r="E6" s="31"/>
      <c r="F6" s="31" t="s">
        <v>36</v>
      </c>
      <c r="G6" s="31" t="s">
        <v>571</v>
      </c>
      <c r="H6" s="31"/>
      <c r="I6" s="31" t="s">
        <v>45</v>
      </c>
      <c r="J6" s="31" t="s">
        <v>48</v>
      </c>
      <c r="K6" s="31" t="s">
        <v>403</v>
      </c>
      <c r="L6" s="31" t="s">
        <v>55</v>
      </c>
      <c r="M6" s="31" t="s">
        <v>58</v>
      </c>
      <c r="N6" s="31" t="s">
        <v>61</v>
      </c>
      <c r="O6" s="31" t="s">
        <v>572</v>
      </c>
      <c r="P6" s="31" t="s">
        <v>573</v>
      </c>
      <c r="Q6" s="31" t="s">
        <v>71</v>
      </c>
      <c r="R6" s="31" t="s">
        <v>74</v>
      </c>
      <c r="S6" s="31"/>
      <c r="T6" s="31"/>
      <c r="U6" s="31"/>
      <c r="V6" s="31"/>
      <c r="W6" s="31"/>
      <c r="X6" s="31"/>
      <c r="Y6" s="31" t="n">
        <v>1</v>
      </c>
      <c r="Z6" s="31" t="s">
        <v>247</v>
      </c>
      <c r="AA6" s="31" t="s">
        <v>574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 t="s">
        <v>306</v>
      </c>
      <c r="AN6" s="31" t="n">
        <v>150</v>
      </c>
      <c r="AO6" s="31" t="s">
        <v>152</v>
      </c>
      <c r="AP6" s="31"/>
      <c r="AQ6" s="31"/>
      <c r="AR6" s="31" t="n">
        <v>120</v>
      </c>
      <c r="AS6" s="31" t="n">
        <v>1200</v>
      </c>
      <c r="AT6" s="31"/>
      <c r="AU6" s="31"/>
      <c r="AV6" s="31"/>
      <c r="AW6" s="31"/>
      <c r="AX6" s="31" t="n">
        <v>200000</v>
      </c>
      <c r="AY6" s="31"/>
      <c r="AZ6" s="31" t="n">
        <v>18000</v>
      </c>
      <c r="BA6" s="31" t="n">
        <v>180000</v>
      </c>
      <c r="BB6" s="31" t="s">
        <v>192</v>
      </c>
      <c r="BC6" s="31" t="s">
        <v>575</v>
      </c>
      <c r="BD6" s="31"/>
      <c r="BE6" s="31"/>
    </row>
    <row r="7" customFormat="false" ht="23.85" hidden="false" customHeight="false" outlineLevel="0" collapsed="false">
      <c r="A7" s="31" t="s">
        <v>576</v>
      </c>
      <c r="B7" s="31" t="s">
        <v>577</v>
      </c>
      <c r="C7" s="31"/>
      <c r="D7" s="31"/>
      <c r="E7" s="31"/>
      <c r="F7" s="31" t="s">
        <v>36</v>
      </c>
      <c r="G7" s="31" t="s">
        <v>578</v>
      </c>
      <c r="H7" s="31"/>
      <c r="I7" s="31"/>
      <c r="J7" s="31"/>
      <c r="K7" s="31" t="s">
        <v>412</v>
      </c>
      <c r="L7" s="31"/>
      <c r="M7" s="31"/>
      <c r="N7" s="31" t="s">
        <v>474</v>
      </c>
      <c r="O7" s="31"/>
      <c r="P7" s="31"/>
      <c r="Q7" s="31"/>
      <c r="R7" s="31"/>
      <c r="S7" s="31"/>
      <c r="T7" s="31" t="s">
        <v>82</v>
      </c>
      <c r="U7" s="31" t="s">
        <v>86</v>
      </c>
      <c r="V7" s="31"/>
      <c r="W7" s="31"/>
      <c r="X7" s="31"/>
      <c r="Y7" s="31" t="n">
        <v>1</v>
      </c>
      <c r="Z7" s="31" t="s">
        <v>104</v>
      </c>
      <c r="AA7" s="31" t="s">
        <v>579</v>
      </c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 t="s">
        <v>413</v>
      </c>
      <c r="AN7" s="31"/>
      <c r="AO7" s="31"/>
      <c r="AP7" s="31" t="n">
        <v>0.035</v>
      </c>
      <c r="AQ7" s="31" t="s">
        <v>580</v>
      </c>
      <c r="AR7" s="31"/>
      <c r="AS7" s="31"/>
      <c r="AT7" s="31"/>
      <c r="AU7" s="31"/>
      <c r="AV7" s="31"/>
      <c r="AW7" s="31" t="n">
        <v>5000</v>
      </c>
      <c r="AX7" s="31"/>
      <c r="AY7" s="31"/>
      <c r="AZ7" s="31" t="n">
        <v>8750</v>
      </c>
      <c r="BA7" s="31"/>
      <c r="BB7" s="31" t="s">
        <v>192</v>
      </c>
      <c r="BC7" s="31"/>
      <c r="BD7" s="31" t="s">
        <v>581</v>
      </c>
      <c r="BE7" s="31"/>
    </row>
    <row r="8" customFormat="false" ht="15" hidden="false" customHeight="fals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</row>
    <row r="10" customFormat="false" ht="15" hidden="false" customHeight="false" outlineLevel="0" collapsed="false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</row>
  </sheetData>
  <autoFilter ref="A2:BE11"/>
  <mergeCells count="1">
    <mergeCell ref="A1:B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8"/>
  </cols>
  <sheetData>
    <row r="1" customFormat="false" ht="24" hidden="false" customHeight="true" outlineLevel="0" collapsed="false">
      <c r="A1" s="24" t="s">
        <v>582</v>
      </c>
      <c r="B1" s="24"/>
    </row>
    <row r="3" customFormat="false" ht="48" hidden="false" customHeight="true" outlineLevel="0" collapsed="false">
      <c r="A3" s="35" t="s">
        <v>583</v>
      </c>
      <c r="B3" s="36" t="s">
        <v>584</v>
      </c>
    </row>
    <row r="4" customFormat="false" ht="48" hidden="false" customHeight="true" outlineLevel="0" collapsed="false">
      <c r="A4" s="35" t="s">
        <v>585</v>
      </c>
      <c r="B4" s="36" t="s">
        <v>586</v>
      </c>
    </row>
    <row r="5" customFormat="false" ht="48" hidden="false" customHeight="true" outlineLevel="0" collapsed="false">
      <c r="A5" s="35" t="s">
        <v>587</v>
      </c>
      <c r="B5" s="36" t="s">
        <v>588</v>
      </c>
    </row>
    <row r="6" customFormat="false" ht="48" hidden="false" customHeight="true" outlineLevel="0" collapsed="false">
      <c r="A6" s="35" t="s">
        <v>589</v>
      </c>
      <c r="B6" s="36" t="s">
        <v>590</v>
      </c>
    </row>
    <row r="7" customFormat="false" ht="48" hidden="false" customHeight="true" outlineLevel="0" collapsed="false">
      <c r="A7" s="35" t="s">
        <v>591</v>
      </c>
      <c r="B7" s="36" t="s">
        <v>592</v>
      </c>
    </row>
    <row r="8" customFormat="false" ht="48" hidden="false" customHeight="true" outlineLevel="0" collapsed="false">
      <c r="A8" s="35" t="s">
        <v>593</v>
      </c>
      <c r="B8" s="36" t="s">
        <v>594</v>
      </c>
    </row>
    <row r="9" customFormat="false" ht="48" hidden="false" customHeight="true" outlineLevel="0" collapsed="false">
      <c r="A9" s="35"/>
      <c r="B9" s="36"/>
    </row>
    <row r="10" customFormat="false" ht="48" hidden="false" customHeight="true" outlineLevel="0" collapsed="false">
      <c r="A10" s="35" t="s">
        <v>595</v>
      </c>
      <c r="B10" s="36" t="s">
        <v>596</v>
      </c>
    </row>
    <row r="11" customFormat="false" ht="48" hidden="false" customHeight="true" outlineLevel="0" collapsed="false">
      <c r="A11" s="35" t="s">
        <v>597</v>
      </c>
      <c r="B11" s="36" t="s">
        <v>598</v>
      </c>
    </row>
    <row r="12" customFormat="false" ht="48" hidden="false" customHeight="true" outlineLevel="0" collapsed="false">
      <c r="A12" s="35" t="s">
        <v>599</v>
      </c>
      <c r="B12" s="36" t="s">
        <v>600</v>
      </c>
    </row>
    <row r="13" customFormat="false" ht="48" hidden="false" customHeight="true" outlineLevel="0" collapsed="false">
      <c r="A13" s="35" t="s">
        <v>601</v>
      </c>
      <c r="B13" s="36" t="s">
        <v>602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2026-09-30T05:56:02Z</dcterms:created>
  <dc:creator>openpyxl</dc:creator>
  <dc:description/>
  <dc:language>en-US</dc:language>
  <cp:lastModifiedBy/>
  <dcterms:modified xsi:type="dcterms:W3CDTF">2026-09-30T05:56:02Z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